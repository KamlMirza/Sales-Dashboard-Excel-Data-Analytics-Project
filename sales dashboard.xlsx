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TNC\Desktop\Excel Project\"/>
    </mc:Choice>
  </mc:AlternateContent>
  <xr:revisionPtr revIDLastSave="0" documentId="13_ncr:1_{E7AB4B90-EC86-4AC0-A3A2-4A8419459801}" xr6:coauthVersionLast="47" xr6:coauthVersionMax="47" xr10:uidLastSave="{00000000-0000-0000-0000-000000000000}"/>
  <bookViews>
    <workbookView xWindow="-110" yWindow="-110" windowWidth="19420" windowHeight="10300" activeTab="3" xr2:uid="{4A230299-256F-4D5D-88DC-B548ECF367F5}"/>
  </bookViews>
  <sheets>
    <sheet name="pivot" sheetId="4" r:id="rId1"/>
    <sheet name="Sales Dataset" sheetId="2" r:id="rId2"/>
    <sheet name="Customer Count" sheetId="6" r:id="rId3"/>
    <sheet name="Dashboard" sheetId="7" r:id="rId4"/>
  </sheets>
  <definedNames>
    <definedName name="_xlchart.v2.0" hidden="1">pivot!$D$4:$D$15</definedName>
    <definedName name="_xlchart.v2.1" hidden="1">pivot!$E$4:$E$15</definedName>
    <definedName name="_xlchart.v5.2" hidden="1">pivot!$C$27</definedName>
    <definedName name="_xlchart.v5.3" hidden="1">pivot!$C$28:$C$33</definedName>
    <definedName name="_xlchart.v5.4" hidden="1">pivot!$D$27</definedName>
    <definedName name="_xlchart.v5.5" hidden="1">pivot!$D$28:$D$33</definedName>
    <definedName name="Slicer_Category">#N/A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07" i="6" l="1"/>
  <c r="A806" i="6"/>
  <c r="A805" i="6"/>
  <c r="A804" i="6"/>
  <c r="A803" i="6"/>
  <c r="A802" i="6"/>
  <c r="A801" i="6"/>
  <c r="A800" i="6"/>
  <c r="A799" i="6"/>
  <c r="A798" i="6"/>
  <c r="A797" i="6"/>
  <c r="A796" i="6"/>
  <c r="A795" i="6"/>
  <c r="A794" i="6"/>
  <c r="A793" i="6"/>
  <c r="A792" i="6"/>
  <c r="A791" i="6"/>
  <c r="A790" i="6"/>
  <c r="A789" i="6"/>
  <c r="A788" i="6"/>
  <c r="A787" i="6"/>
  <c r="A786" i="6"/>
  <c r="A785" i="6"/>
  <c r="A784" i="6"/>
  <c r="A783" i="6"/>
  <c r="A782" i="6"/>
  <c r="A781" i="6"/>
  <c r="A780" i="6"/>
  <c r="A779" i="6"/>
  <c r="A778" i="6"/>
  <c r="A777" i="6"/>
  <c r="A776" i="6"/>
  <c r="A775" i="6"/>
  <c r="A774" i="6"/>
  <c r="A773" i="6"/>
  <c r="A772" i="6"/>
  <c r="A771" i="6"/>
  <c r="A770" i="6"/>
  <c r="A769" i="6"/>
  <c r="A768" i="6"/>
  <c r="A767" i="6"/>
  <c r="A766" i="6"/>
  <c r="A765" i="6"/>
  <c r="A764" i="6"/>
  <c r="A763" i="6"/>
  <c r="A762" i="6"/>
  <c r="A761" i="6"/>
  <c r="A760" i="6"/>
  <c r="A759" i="6"/>
  <c r="A758" i="6"/>
  <c r="A757" i="6"/>
  <c r="A756" i="6"/>
  <c r="A755" i="6"/>
  <c r="A754" i="6"/>
  <c r="A753" i="6"/>
  <c r="A752" i="6"/>
  <c r="A751" i="6"/>
  <c r="A750" i="6"/>
  <c r="A749" i="6"/>
  <c r="A748" i="6"/>
  <c r="A747" i="6"/>
  <c r="A746" i="6"/>
  <c r="A745" i="6"/>
  <c r="A744" i="6"/>
  <c r="A743" i="6"/>
  <c r="A742" i="6"/>
  <c r="A741" i="6"/>
  <c r="A740" i="6"/>
  <c r="A739" i="6"/>
  <c r="A738" i="6"/>
  <c r="A737" i="6"/>
  <c r="A736" i="6"/>
  <c r="A735" i="6"/>
  <c r="A734" i="6"/>
  <c r="A733" i="6"/>
  <c r="A732" i="6"/>
  <c r="A731" i="6"/>
  <c r="A730" i="6"/>
  <c r="A729" i="6"/>
  <c r="A728" i="6"/>
  <c r="A727" i="6"/>
  <c r="A726" i="6"/>
  <c r="A725" i="6"/>
  <c r="A724" i="6"/>
  <c r="A723" i="6"/>
  <c r="A722" i="6"/>
  <c r="A721" i="6"/>
  <c r="A720" i="6"/>
  <c r="A719" i="6"/>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A687" i="6"/>
  <c r="A686" i="6"/>
  <c r="A685" i="6"/>
  <c r="A684" i="6"/>
  <c r="A683" i="6"/>
  <c r="A682" i="6"/>
  <c r="A681" i="6"/>
  <c r="A680" i="6"/>
  <c r="A679" i="6"/>
  <c r="A678" i="6"/>
  <c r="A677" i="6"/>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D29" i="4"/>
  <c r="D30" i="4"/>
  <c r="D31" i="4"/>
  <c r="D32" i="4"/>
  <c r="D33" i="4"/>
  <c r="D28" i="4"/>
  <c r="C29" i="4"/>
  <c r="C30" i="4"/>
  <c r="C31" i="4"/>
  <c r="C32" i="4"/>
  <c r="C33" i="4"/>
  <c r="C28" i="4"/>
  <c r="N5" i="4"/>
  <c r="N6" i="4"/>
  <c r="N7" i="4"/>
  <c r="N8" i="4"/>
  <c r="M5" i="4"/>
  <c r="M6" i="4"/>
  <c r="M7" i="4"/>
  <c r="M8" i="4"/>
  <c r="N4" i="4"/>
  <c r="M4" i="4"/>
  <c r="E5" i="4"/>
  <c r="E6" i="4"/>
  <c r="E7" i="4"/>
  <c r="E8" i="4"/>
  <c r="E9" i="4"/>
  <c r="E10" i="4"/>
  <c r="E11" i="4"/>
  <c r="E12" i="4"/>
  <c r="E13" i="4"/>
  <c r="E14" i="4"/>
  <c r="E15" i="4"/>
  <c r="D14" i="4"/>
  <c r="D15" i="4"/>
  <c r="D5" i="4"/>
  <c r="D6" i="4"/>
  <c r="D7" i="4"/>
  <c r="D8" i="4"/>
  <c r="D9" i="4"/>
  <c r="D10" i="4"/>
  <c r="D11" i="4"/>
  <c r="D12" i="4"/>
  <c r="D13" i="4"/>
  <c r="E4" i="4"/>
  <c r="D4" i="4"/>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2" i="2"/>
</calcChain>
</file>

<file path=xl/sharedStrings.xml><?xml version="1.0" encoding="utf-8"?>
<sst xmlns="http://schemas.openxmlformats.org/spreadsheetml/2006/main" count="6431" uniqueCount="839">
  <si>
    <t>Order Date</t>
  </si>
  <si>
    <t>CustomerName</t>
  </si>
  <si>
    <t>State</t>
  </si>
  <si>
    <t>Category</t>
  </si>
  <si>
    <t>Sub-Category</t>
  </si>
  <si>
    <t>Sales</t>
  </si>
  <si>
    <t>Quantity</t>
  </si>
  <si>
    <t>Profit</t>
  </si>
  <si>
    <t>David Padilla</t>
  </si>
  <si>
    <t>Florida</t>
  </si>
  <si>
    <t>Electronics</t>
  </si>
  <si>
    <t>Electronic Games</t>
  </si>
  <si>
    <t>Connor Morgan</t>
  </si>
  <si>
    <t>Illinois</t>
  </si>
  <si>
    <t>Robert Stone</t>
  </si>
  <si>
    <t>New York</t>
  </si>
  <si>
    <t>Printers</t>
  </si>
  <si>
    <t>John Fields</t>
  </si>
  <si>
    <t>Office Supplies</t>
  </si>
  <si>
    <t>Pens</t>
  </si>
  <si>
    <t>Clayton Smith</t>
  </si>
  <si>
    <t>Richard Kelley</t>
  </si>
  <si>
    <t>California</t>
  </si>
  <si>
    <t>Laptops</t>
  </si>
  <si>
    <t>Furniture</t>
  </si>
  <si>
    <t>Tables</t>
  </si>
  <si>
    <t>Jacqueline Hubbard</t>
  </si>
  <si>
    <t>Chairs</t>
  </si>
  <si>
    <t>Jessica Anderson</t>
  </si>
  <si>
    <t>Mary Taylor</t>
  </si>
  <si>
    <t>Markers</t>
  </si>
  <si>
    <t>Sofas</t>
  </si>
  <si>
    <t>Walter Crawford</t>
  </si>
  <si>
    <t>Paper</t>
  </si>
  <si>
    <t>Lawrence Robinson</t>
  </si>
  <si>
    <t>Douglas Pennington</t>
  </si>
  <si>
    <t>Texas</t>
  </si>
  <si>
    <t>Ricardo Andrews</t>
  </si>
  <si>
    <t>Paul Raymond</t>
  </si>
  <si>
    <t>Binders</t>
  </si>
  <si>
    <t>Karen Johnson</t>
  </si>
  <si>
    <t>Phones</t>
  </si>
  <si>
    <t>Juan Erickson</t>
  </si>
  <si>
    <t>Alexander Reed</t>
  </si>
  <si>
    <t>Jacqueline Harris</t>
  </si>
  <si>
    <t>Tyler Park</t>
  </si>
  <si>
    <t>Richard Wolfe</t>
  </si>
  <si>
    <t>Ohio</t>
  </si>
  <si>
    <t>Sierra Rios</t>
  </si>
  <si>
    <t>Jessica Richardson</t>
  </si>
  <si>
    <t>Kimberly Warren</t>
  </si>
  <si>
    <t>Bookcases</t>
  </si>
  <si>
    <t>Casey Garcia</t>
  </si>
  <si>
    <t>Denise Hampton</t>
  </si>
  <si>
    <t>Justin Rodriguez</t>
  </si>
  <si>
    <t>Ms. Emily Baxter</t>
  </si>
  <si>
    <t>Austin White</t>
  </si>
  <si>
    <t>Morgan Montes</t>
  </si>
  <si>
    <t>Christine Mosley</t>
  </si>
  <si>
    <t>Ashley Rodriguez</t>
  </si>
  <si>
    <t>Elizabeth King</t>
  </si>
  <si>
    <t>Connie Holmes</t>
  </si>
  <si>
    <t>Melissa Peck</t>
  </si>
  <si>
    <t>David Smith</t>
  </si>
  <si>
    <t>Heather Jenkins</t>
  </si>
  <si>
    <t>Kelsey Castaneda</t>
  </si>
  <si>
    <t>Katherine Harris</t>
  </si>
  <si>
    <t>Paul Rogers</t>
  </si>
  <si>
    <t>Jon Banks</t>
  </si>
  <si>
    <t>Michelle Williams</t>
  </si>
  <si>
    <t>Andrew Allen</t>
  </si>
  <si>
    <t>Vanessa Bauer</t>
  </si>
  <si>
    <t>Sean Smith</t>
  </si>
  <si>
    <t>Shelly Sweeney</t>
  </si>
  <si>
    <t>Emily Gill</t>
  </si>
  <si>
    <t>Brian Patrick</t>
  </si>
  <si>
    <t>Dr. Sarah Booth</t>
  </si>
  <si>
    <t>Douglas Mcfarland</t>
  </si>
  <si>
    <t>Kayla Ross</t>
  </si>
  <si>
    <t>Marc Strickland</t>
  </si>
  <si>
    <t>Charlene Brown</t>
  </si>
  <si>
    <t>Charles Smith</t>
  </si>
  <si>
    <t>Karen Townsend</t>
  </si>
  <si>
    <t>Steven Cox</t>
  </si>
  <si>
    <t>Cynthia Rodriguez</t>
  </si>
  <si>
    <t>Jessica Baker</t>
  </si>
  <si>
    <t>Mark Blackburn</t>
  </si>
  <si>
    <t>Zachary Perez</t>
  </si>
  <si>
    <t>Brian Green</t>
  </si>
  <si>
    <t>Becky Leach</t>
  </si>
  <si>
    <t>Bryan Russell</t>
  </si>
  <si>
    <t>Tony Maddox</t>
  </si>
  <si>
    <t>Jason Randolph</t>
  </si>
  <si>
    <t>Laura Andrews</t>
  </si>
  <si>
    <t>Mrs. Stephanie Hooper</t>
  </si>
  <si>
    <t>Anthony Evans</t>
  </si>
  <si>
    <t>Patrick Williams</t>
  </si>
  <si>
    <t>Susan Burke</t>
  </si>
  <si>
    <t>Brent Hernandez</t>
  </si>
  <si>
    <t>Sean Elliott</t>
  </si>
  <si>
    <t>Wanda West</t>
  </si>
  <si>
    <t>Renee Solomon</t>
  </si>
  <si>
    <t>Daryl Miles</t>
  </si>
  <si>
    <t>Michael Hunt</t>
  </si>
  <si>
    <t>Adam Clark</t>
  </si>
  <si>
    <t>Amy Olsen</t>
  </si>
  <si>
    <t>Stacey Miller</t>
  </si>
  <si>
    <t>Daniel Mosley</t>
  </si>
  <si>
    <t>Monica Gibson</t>
  </si>
  <si>
    <t>Christopher Jordan</t>
  </si>
  <si>
    <t>Christina Davis</t>
  </si>
  <si>
    <t>Claudia Curry</t>
  </si>
  <si>
    <t>Brandon Anderson</t>
  </si>
  <si>
    <t>George Foster</t>
  </si>
  <si>
    <t>Nicholas Anderson</t>
  </si>
  <si>
    <t>Emily Ellison</t>
  </si>
  <si>
    <t>Darren Perez</t>
  </si>
  <si>
    <t>Michelle Hunter</t>
  </si>
  <si>
    <t>Janet Guerrero</t>
  </si>
  <si>
    <t>Jeffrey Kline</t>
  </si>
  <si>
    <t>Ryan Bullock</t>
  </si>
  <si>
    <t>Tom Lawson</t>
  </si>
  <si>
    <t>Rebecca Smith</t>
  </si>
  <si>
    <t>William Welch</t>
  </si>
  <si>
    <t>Mr. Curtis Bailey</t>
  </si>
  <si>
    <t>Janet Carlson</t>
  </si>
  <si>
    <t>Spencer Spears</t>
  </si>
  <si>
    <t>Jeffrey Middleton</t>
  </si>
  <si>
    <t>Veronica Kelley</t>
  </si>
  <si>
    <t>Leslie Bean</t>
  </si>
  <si>
    <t>Amy Wilson</t>
  </si>
  <si>
    <t>Susan Ramirez</t>
  </si>
  <si>
    <t>Jacob Meyer</t>
  </si>
  <si>
    <t>Scott Lewis</t>
  </si>
  <si>
    <t>Eric Griffith</t>
  </si>
  <si>
    <t>Anna Ferguson</t>
  </si>
  <si>
    <t>David Figueroa</t>
  </si>
  <si>
    <t>Theresa Medina</t>
  </si>
  <si>
    <t>Mary Smith</t>
  </si>
  <si>
    <t>Lance Cain</t>
  </si>
  <si>
    <t>Alexandra Moran</t>
  </si>
  <si>
    <t>Sara Castro</t>
  </si>
  <si>
    <t>Shawn Leach</t>
  </si>
  <si>
    <t>Mark Boyle</t>
  </si>
  <si>
    <t>John Stevens</t>
  </si>
  <si>
    <t>Lisa Graham</t>
  </si>
  <si>
    <t>Nancy Jones</t>
  </si>
  <si>
    <t>Darryl Robbins</t>
  </si>
  <si>
    <t>Kimberly Smith</t>
  </si>
  <si>
    <t>Maria Thomas</t>
  </si>
  <si>
    <t>Nicholas Johnson</t>
  </si>
  <si>
    <t>Dawn Howard</t>
  </si>
  <si>
    <t>Jennifer Marshall</t>
  </si>
  <si>
    <t>Frank Garcia</t>
  </si>
  <si>
    <t>Terri Madden</t>
  </si>
  <si>
    <t>James Gutierrez</t>
  </si>
  <si>
    <t>Morgan Sellers</t>
  </si>
  <si>
    <t>Caitlin Thomas</t>
  </si>
  <si>
    <t>Kimberly Greene</t>
  </si>
  <si>
    <t>Tammy Anthony</t>
  </si>
  <si>
    <t>Jennifer Chase</t>
  </si>
  <si>
    <t>Cassandra Farley</t>
  </si>
  <si>
    <t>Justin Vasquez</t>
  </si>
  <si>
    <t>Melissa Morales</t>
  </si>
  <si>
    <t>Tyler Thompson</t>
  </si>
  <si>
    <t>Heidi Davis</t>
  </si>
  <si>
    <t>Charles Lane</t>
  </si>
  <si>
    <t>Joyce Good MD</t>
  </si>
  <si>
    <t>Maria Miller</t>
  </si>
  <si>
    <t>Terry Mcdaniel</t>
  </si>
  <si>
    <t>Lisa Jacobs</t>
  </si>
  <si>
    <t>Jeff Duncan</t>
  </si>
  <si>
    <t>Pamela Jones</t>
  </si>
  <si>
    <t>Renee Robinson</t>
  </si>
  <si>
    <t>Jessica Kidd</t>
  </si>
  <si>
    <t>Nicholas Martin</t>
  </si>
  <si>
    <t>David Brown</t>
  </si>
  <si>
    <t>Amber Moore</t>
  </si>
  <si>
    <t>James Williams</t>
  </si>
  <si>
    <t>Karina Barr</t>
  </si>
  <si>
    <t>Meghan Rush</t>
  </si>
  <si>
    <t>Bianca Brown</t>
  </si>
  <si>
    <t>Timothy Jensen</t>
  </si>
  <si>
    <t>Melinda Montoya</t>
  </si>
  <si>
    <t>Tammy Bell</t>
  </si>
  <si>
    <t>Connie Richards</t>
  </si>
  <si>
    <t>Peter Ward</t>
  </si>
  <si>
    <t>Jonathan Alvarez</t>
  </si>
  <si>
    <t>Becky Hodges</t>
  </si>
  <si>
    <t>Larry Hill</t>
  </si>
  <si>
    <t>Amber Moon</t>
  </si>
  <si>
    <t>Cynthia Wilcox</t>
  </si>
  <si>
    <t>Rebecca Wright</t>
  </si>
  <si>
    <t>Sarah Flores</t>
  </si>
  <si>
    <t>Carol Norman</t>
  </si>
  <si>
    <t>Stephanie Gardner</t>
  </si>
  <si>
    <t>Philip Baker</t>
  </si>
  <si>
    <t>Randall Dennis</t>
  </si>
  <si>
    <t>Suzanne Cross</t>
  </si>
  <si>
    <t>Jasmine Delgado</t>
  </si>
  <si>
    <t>Kristen Harper</t>
  </si>
  <si>
    <t>Kaitlyn Graham MD</t>
  </si>
  <si>
    <t>Dean Avila</t>
  </si>
  <si>
    <t>Megan Mack</t>
  </si>
  <si>
    <t>Heather Johnson</t>
  </si>
  <si>
    <t>Tina Davies</t>
  </si>
  <si>
    <t>Matthew Harris</t>
  </si>
  <si>
    <t>Christopher Kirk</t>
  </si>
  <si>
    <t>Eric Stevens</t>
  </si>
  <si>
    <t>James Dickerson</t>
  </si>
  <si>
    <t>James Jones</t>
  </si>
  <si>
    <t>Hannah Hendricks</t>
  </si>
  <si>
    <t>Brett Mullins</t>
  </si>
  <si>
    <t>Ms. Kim Jordan</t>
  </si>
  <si>
    <t>Marcus Santiago</t>
  </si>
  <si>
    <t>Jill Perez</t>
  </si>
  <si>
    <t>Courtney Williams</t>
  </si>
  <si>
    <t>Jordan Hahn</t>
  </si>
  <si>
    <t>William Cook</t>
  </si>
  <si>
    <t>Stephanie Hayes</t>
  </si>
  <si>
    <t>Melissa Wise</t>
  </si>
  <si>
    <t>Elizabeth Gonzalez</t>
  </si>
  <si>
    <t>Mr. Eric Lopez</t>
  </si>
  <si>
    <t>Benjamin Higgins</t>
  </si>
  <si>
    <t>Brett Sutton</t>
  </si>
  <si>
    <t>Anna Blackburn</t>
  </si>
  <si>
    <t>Michelle Bailey</t>
  </si>
  <si>
    <t>Sara Peterson</t>
  </si>
  <si>
    <t>Katherine Williams</t>
  </si>
  <si>
    <t>Cory Evans</t>
  </si>
  <si>
    <t>Michael Rodriguez</t>
  </si>
  <si>
    <t>John Munoz</t>
  </si>
  <si>
    <t>David Clark</t>
  </si>
  <si>
    <t>April Welch</t>
  </si>
  <si>
    <t>Alan Livingston</t>
  </si>
  <si>
    <t>Angela Jackson</t>
  </si>
  <si>
    <t>Amy Williams</t>
  </si>
  <si>
    <t>Laura Jordan</t>
  </si>
  <si>
    <t>Richard Maynard</t>
  </si>
  <si>
    <t>Lawrence Oliver</t>
  </si>
  <si>
    <t>Anthony Williams</t>
  </si>
  <si>
    <t>Lynn Matthews</t>
  </si>
  <si>
    <t>Andrew Griffin</t>
  </si>
  <si>
    <t>Megan Williams</t>
  </si>
  <si>
    <t>Alison Martin</t>
  </si>
  <si>
    <t>Samuel Wallace</t>
  </si>
  <si>
    <t>Manuel Stark</t>
  </si>
  <si>
    <t>William Villarreal</t>
  </si>
  <si>
    <t>Brandon Kirk</t>
  </si>
  <si>
    <t>Abigail Brown</t>
  </si>
  <si>
    <t>Kristine Carter</t>
  </si>
  <si>
    <t>Wesley Deleon</t>
  </si>
  <si>
    <t>Laura Cole</t>
  </si>
  <si>
    <t>Lauren Harris</t>
  </si>
  <si>
    <t>Cameron Miller</t>
  </si>
  <si>
    <t>Jacob Carpenter</t>
  </si>
  <si>
    <t>Pamela Callahan DVM</t>
  </si>
  <si>
    <t>William Ruiz</t>
  </si>
  <si>
    <t>Paula Marshall</t>
  </si>
  <si>
    <t>Natalie Cox</t>
  </si>
  <si>
    <t>Andrew Fernandez</t>
  </si>
  <si>
    <t>Alisha Saunders</t>
  </si>
  <si>
    <t>Travis Chandler DDS</t>
  </si>
  <si>
    <t>Russell Austin</t>
  </si>
  <si>
    <t>Collin Cameron</t>
  </si>
  <si>
    <t>Elizabeth Hernandez</t>
  </si>
  <si>
    <t>William Russell</t>
  </si>
  <si>
    <t>Sheri Berg</t>
  </si>
  <si>
    <t>Anthony Barnett</t>
  </si>
  <si>
    <t>Kaitlyn Flores</t>
  </si>
  <si>
    <t>Rebecca Owen</t>
  </si>
  <si>
    <t>Michael Bell</t>
  </si>
  <si>
    <t>Willie Huynh</t>
  </si>
  <si>
    <t>Samuel Hayes</t>
  </si>
  <si>
    <t>Sherry Tran</t>
  </si>
  <si>
    <t>Heather Gray</t>
  </si>
  <si>
    <t>Benjamin Meadows</t>
  </si>
  <si>
    <t>Micheal Graham</t>
  </si>
  <si>
    <t>Jean Jackson</t>
  </si>
  <si>
    <t>Timothy Murphy</t>
  </si>
  <si>
    <t>Mrs. Jennifer Lewis</t>
  </si>
  <si>
    <t>Bryan Brown</t>
  </si>
  <si>
    <t>Christopher Johnson</t>
  </si>
  <si>
    <t>Christina Conner</t>
  </si>
  <si>
    <t>Luis Luna</t>
  </si>
  <si>
    <t>Julie Chavez</t>
  </si>
  <si>
    <t>Richard Blair</t>
  </si>
  <si>
    <t>Mitchell Lester</t>
  </si>
  <si>
    <t>Mr. John Tyler PhD</t>
  </si>
  <si>
    <t>Juan Kelly</t>
  </si>
  <si>
    <t>Morgan Mccarthy</t>
  </si>
  <si>
    <t>Morgan Sullivan</t>
  </si>
  <si>
    <t>Eric Clark</t>
  </si>
  <si>
    <t>Mark Padilla</t>
  </si>
  <si>
    <t>Anthony Lane</t>
  </si>
  <si>
    <t>Jeffrey Henderson</t>
  </si>
  <si>
    <t>Michelle Hardy</t>
  </si>
  <si>
    <t>Ms. Barbara Cervantes</t>
  </si>
  <si>
    <t>Steven Proctor</t>
  </si>
  <si>
    <t>Shannon Patterson</t>
  </si>
  <si>
    <t>William Valdez</t>
  </si>
  <si>
    <t>Laura Yu</t>
  </si>
  <si>
    <t>Jonathan Mcmillan</t>
  </si>
  <si>
    <t>Austin Davis</t>
  </si>
  <si>
    <t>Mark Roy</t>
  </si>
  <si>
    <t>Jillian Williams</t>
  </si>
  <si>
    <t>Rebekah Carter</t>
  </si>
  <si>
    <t>Jonathan Reed</t>
  </si>
  <si>
    <t>Roger Harris</t>
  </si>
  <si>
    <t>Louis Jimenez</t>
  </si>
  <si>
    <t>Jessica Jones</t>
  </si>
  <si>
    <t>Renee Gomez</t>
  </si>
  <si>
    <t>Connie Olson</t>
  </si>
  <si>
    <t>Christian Jones</t>
  </si>
  <si>
    <t>Matthew Kelley</t>
  </si>
  <si>
    <t>Candace Martinez</t>
  </si>
  <si>
    <t>Jacob Mann</t>
  </si>
  <si>
    <t>Keith Reese</t>
  </si>
  <si>
    <t>Aaron Jones</t>
  </si>
  <si>
    <t>Christopher Brooks</t>
  </si>
  <si>
    <t>Charles Moore</t>
  </si>
  <si>
    <t>Manuel Walls</t>
  </si>
  <si>
    <t>Darren Moore</t>
  </si>
  <si>
    <t>Stephanie Thomas</t>
  </si>
  <si>
    <t>Kristy Hernandez</t>
  </si>
  <si>
    <t>Randy Johnson</t>
  </si>
  <si>
    <t>James Benitez</t>
  </si>
  <si>
    <t>Donald York</t>
  </si>
  <si>
    <t>Tiffany Parker</t>
  </si>
  <si>
    <t>Melissa Mcknight</t>
  </si>
  <si>
    <t>Mr. Jack Mercado</t>
  </si>
  <si>
    <t>Rachel Fisher</t>
  </si>
  <si>
    <t>Donald Moore</t>
  </si>
  <si>
    <t>William Wu</t>
  </si>
  <si>
    <t>Jesus Zuniga</t>
  </si>
  <si>
    <t>Michael Gallegos</t>
  </si>
  <si>
    <t>Robert Daniels</t>
  </si>
  <si>
    <t>Jill Jones</t>
  </si>
  <si>
    <t>Elizabeth Miller</t>
  </si>
  <si>
    <t>Sabrina Clark</t>
  </si>
  <si>
    <t>Larry Casey</t>
  </si>
  <si>
    <t>Daniel Burns</t>
  </si>
  <si>
    <t>James Tanner</t>
  </si>
  <si>
    <t>Leonard Gonzalez</t>
  </si>
  <si>
    <t>Richard Lee</t>
  </si>
  <si>
    <t>Matthew Schroeder</t>
  </si>
  <si>
    <t>Marcus Flores</t>
  </si>
  <si>
    <t>Tonya Long</t>
  </si>
  <si>
    <t>Michael Chambers</t>
  </si>
  <si>
    <t>Kaylee Glover</t>
  </si>
  <si>
    <t>Pamela Patterson</t>
  </si>
  <si>
    <t>Ronald Mckinney</t>
  </si>
  <si>
    <t>James Hart</t>
  </si>
  <si>
    <t>Rhonda Harris</t>
  </si>
  <si>
    <t>Randy Fisher</t>
  </si>
  <si>
    <t>James Hernandez</t>
  </si>
  <si>
    <t>Brenda Murphy</t>
  </si>
  <si>
    <t>Andrew Kirby</t>
  </si>
  <si>
    <t>Justin Thomas</t>
  </si>
  <si>
    <t>Jillian Johnson MD</t>
  </si>
  <si>
    <t>William Martin</t>
  </si>
  <si>
    <t>Mark Dixon</t>
  </si>
  <si>
    <t>Alicia Allen</t>
  </si>
  <si>
    <t>Cynthia Meyer</t>
  </si>
  <si>
    <t>Brandon Norton</t>
  </si>
  <si>
    <t>Christina Scott</t>
  </si>
  <si>
    <t>Andrew Macias</t>
  </si>
  <si>
    <t>Alejandro Williams</t>
  </si>
  <si>
    <t>Mark Rodriguez</t>
  </si>
  <si>
    <t>Sarah Montgomery</t>
  </si>
  <si>
    <t>Marisa Prince</t>
  </si>
  <si>
    <t>James Bonilla</t>
  </si>
  <si>
    <t>Robin Myers</t>
  </si>
  <si>
    <t>Nancy Sanchez</t>
  </si>
  <si>
    <t>Sydney Walls</t>
  </si>
  <si>
    <t>Deborah Hoffman</t>
  </si>
  <si>
    <t>Shane Clark</t>
  </si>
  <si>
    <t>Steven Haynes</t>
  </si>
  <si>
    <t>Kimberly Fuller</t>
  </si>
  <si>
    <t>Angela Lyons</t>
  </si>
  <si>
    <t>Betty Tucker</t>
  </si>
  <si>
    <t>Brianna Hunt</t>
  </si>
  <si>
    <t>Cathy Clark</t>
  </si>
  <si>
    <t>Nicole Warren</t>
  </si>
  <si>
    <t>Richard Castaneda</t>
  </si>
  <si>
    <t>Sarah Torres</t>
  </si>
  <si>
    <t>Vanessa Deleon</t>
  </si>
  <si>
    <t>Richard Lyons</t>
  </si>
  <si>
    <t>Eric Adams</t>
  </si>
  <si>
    <t>Chad Brown</t>
  </si>
  <si>
    <t>Kayla Becker</t>
  </si>
  <si>
    <t>Ashley Freeman</t>
  </si>
  <si>
    <t>Scott Harris</t>
  </si>
  <si>
    <t>John James</t>
  </si>
  <si>
    <t>Jesse Bond</t>
  </si>
  <si>
    <t>Brandon Hughes</t>
  </si>
  <si>
    <t>Lynn Reynolds</t>
  </si>
  <si>
    <t>Ronald Good</t>
  </si>
  <si>
    <t>Kyle Baker</t>
  </si>
  <si>
    <t>Michael Rivera</t>
  </si>
  <si>
    <t>Lori Adkins</t>
  </si>
  <si>
    <t>Luis Warner</t>
  </si>
  <si>
    <t>Donald Perry</t>
  </si>
  <si>
    <t>Adam Stevens</t>
  </si>
  <si>
    <t>Kimberly Johnson</t>
  </si>
  <si>
    <t>Kelly Jones</t>
  </si>
  <si>
    <t>Ashley Petty</t>
  </si>
  <si>
    <t>Crystal Ross</t>
  </si>
  <si>
    <t>Alexis Duffy</t>
  </si>
  <si>
    <t>Stephanie Sanchez</t>
  </si>
  <si>
    <t>Reginald Espinoza</t>
  </si>
  <si>
    <t>Sandra Hicks</t>
  </si>
  <si>
    <t>Olivia Orozco</t>
  </si>
  <si>
    <t>Larry Moore</t>
  </si>
  <si>
    <t>Mrs. Rachel Cannon DDS</t>
  </si>
  <si>
    <t>Daniel Flowers</t>
  </si>
  <si>
    <t>Randy Acosta</t>
  </si>
  <si>
    <t>Deborah Williams</t>
  </si>
  <si>
    <t>Robert Michael</t>
  </si>
  <si>
    <t>Danny Ramirez</t>
  </si>
  <si>
    <t>Stephen Baker</t>
  </si>
  <si>
    <t>Jeffrey Wilcox</t>
  </si>
  <si>
    <t>James Clarke</t>
  </si>
  <si>
    <t>Julia Gallagher</t>
  </si>
  <si>
    <t>Ronald Frey Jr.</t>
  </si>
  <si>
    <t>Megan Charles</t>
  </si>
  <si>
    <t>Amy Duran MD</t>
  </si>
  <si>
    <t>Christopher Thomas</t>
  </si>
  <si>
    <t>Peter Castro</t>
  </si>
  <si>
    <t>Steven Acosta</t>
  </si>
  <si>
    <t>Lindsay Jackson</t>
  </si>
  <si>
    <t>Kelly Smith</t>
  </si>
  <si>
    <t>Sabrina Hartman</t>
  </si>
  <si>
    <t>Cynthia Smith</t>
  </si>
  <si>
    <t>Olivia Dickerson</t>
  </si>
  <si>
    <t>Whitney Stout</t>
  </si>
  <si>
    <t>Stephanie Flores</t>
  </si>
  <si>
    <t>Gregory English</t>
  </si>
  <si>
    <t>Natalie Maxwell</t>
  </si>
  <si>
    <t>Tina Blake</t>
  </si>
  <si>
    <t>Clarence Cooke</t>
  </si>
  <si>
    <t>Tamara Guzman</t>
  </si>
  <si>
    <t>Marissa Hartman</t>
  </si>
  <si>
    <t>Sara Garcia</t>
  </si>
  <si>
    <t>Kathryn Rogers</t>
  </si>
  <si>
    <t>Kyle Dickson</t>
  </si>
  <si>
    <t>Jacob Decker</t>
  </si>
  <si>
    <t>Aaron Johnson</t>
  </si>
  <si>
    <t>William Morse</t>
  </si>
  <si>
    <t>Carrie Smith</t>
  </si>
  <si>
    <t>Vincent Roth</t>
  </si>
  <si>
    <t>Andrew Benson</t>
  </si>
  <si>
    <t>Jason Wilson</t>
  </si>
  <si>
    <t>Colin Patterson</t>
  </si>
  <si>
    <t>Eric Bates</t>
  </si>
  <si>
    <t>Steven Keith</t>
  </si>
  <si>
    <t>Seth Rodriguez</t>
  </si>
  <si>
    <t>Lauren Jones</t>
  </si>
  <si>
    <t>Thomas Wallace</t>
  </si>
  <si>
    <t>Mr. Daniel Wilson</t>
  </si>
  <si>
    <t>Julie Smith MD</t>
  </si>
  <si>
    <t>Carol Mitchell</t>
  </si>
  <si>
    <t>John Thompson</t>
  </si>
  <si>
    <t>Debra Rodriguez</t>
  </si>
  <si>
    <t>Erin Vasquez</t>
  </si>
  <si>
    <t>Clayton Lara</t>
  </si>
  <si>
    <t>Tony Ray</t>
  </si>
  <si>
    <t>Steven Frey</t>
  </si>
  <si>
    <t>Stephanie Leonard</t>
  </si>
  <si>
    <t>Crystal Chambers</t>
  </si>
  <si>
    <t>Robert White</t>
  </si>
  <si>
    <t>Sylvia Barron</t>
  </si>
  <si>
    <t>Marcus Brown</t>
  </si>
  <si>
    <t>Annette Pierce</t>
  </si>
  <si>
    <t>Donald Hernandez</t>
  </si>
  <si>
    <t>Megan Davis</t>
  </si>
  <si>
    <t>Robert Brooks</t>
  </si>
  <si>
    <t>Miguel Alvarez</t>
  </si>
  <si>
    <t>Jennifer Arnold</t>
  </si>
  <si>
    <t>Jessica Blankenship</t>
  </si>
  <si>
    <t>Peggy Campos</t>
  </si>
  <si>
    <t>Craig Ortega</t>
  </si>
  <si>
    <t>Johnny Simon</t>
  </si>
  <si>
    <t>Keith Brooks</t>
  </si>
  <si>
    <t>Jason Martinez</t>
  </si>
  <si>
    <t>Steven Herrera</t>
  </si>
  <si>
    <t>Beverly Lamb</t>
  </si>
  <si>
    <t>Michael Williams</t>
  </si>
  <si>
    <t>Zachary Carpenter</t>
  </si>
  <si>
    <t>Timothy Baker</t>
  </si>
  <si>
    <t>Adam James</t>
  </si>
  <si>
    <t>Katrina Wood</t>
  </si>
  <si>
    <t>James Murray</t>
  </si>
  <si>
    <t>Mr. Nathaniel Reeves</t>
  </si>
  <si>
    <t>Jodi Wood</t>
  </si>
  <si>
    <t>Dr. Thomas Peterson</t>
  </si>
  <si>
    <t>Mario Hall</t>
  </si>
  <si>
    <t>Justin Rosales</t>
  </si>
  <si>
    <t>Autumn Lee</t>
  </si>
  <si>
    <t>Victoria Duran</t>
  </si>
  <si>
    <t>Barry Garcia</t>
  </si>
  <si>
    <t>Dawn Webb</t>
  </si>
  <si>
    <t>Patricia Sanford</t>
  </si>
  <si>
    <t>William Walters</t>
  </si>
  <si>
    <t>Emma Scott</t>
  </si>
  <si>
    <t>Sabrina Buckley</t>
  </si>
  <si>
    <t>Robert Rojas</t>
  </si>
  <si>
    <t>Eric Johnson</t>
  </si>
  <si>
    <t>Heather Parker</t>
  </si>
  <si>
    <t>Thomas Matthews</t>
  </si>
  <si>
    <t>Kimberly Beard</t>
  </si>
  <si>
    <t>Lydia Donovan</t>
  </si>
  <si>
    <t>Edward Johnson</t>
  </si>
  <si>
    <t>Ricky Smith</t>
  </si>
  <si>
    <t>Mr. Ralph Garcia Jr.</t>
  </si>
  <si>
    <t>Malik Walker</t>
  </si>
  <si>
    <t>Tanya Walker</t>
  </si>
  <si>
    <t>Sherri Ferguson DVM</t>
  </si>
  <si>
    <t>Kristin Hart</t>
  </si>
  <si>
    <t>Jim Johnson</t>
  </si>
  <si>
    <t>David Hamilton</t>
  </si>
  <si>
    <t>Michael Jimenez</t>
  </si>
  <si>
    <t>Angela Norman</t>
  </si>
  <si>
    <t>Denise Mcdaniel</t>
  </si>
  <si>
    <t>Matthew Huff</t>
  </si>
  <si>
    <t>Linda Little</t>
  </si>
  <si>
    <t>Kerri Andrews</t>
  </si>
  <si>
    <t>Jeffrey Johnson III</t>
  </si>
  <si>
    <t>Daniel Dixon</t>
  </si>
  <si>
    <t>Tiffany Robinson</t>
  </si>
  <si>
    <t>Mr. Gregg Sawyer</t>
  </si>
  <si>
    <t>John Silva</t>
  </si>
  <si>
    <t>Nathan Moss</t>
  </si>
  <si>
    <t>Donald Medina</t>
  </si>
  <si>
    <t>Charles Henderson</t>
  </si>
  <si>
    <t>Brenda Davis</t>
  </si>
  <si>
    <t>Leah Calderon</t>
  </si>
  <si>
    <t>Brandi Vasquez</t>
  </si>
  <si>
    <t>Debra Richards</t>
  </si>
  <si>
    <t>Tammy Day</t>
  </si>
  <si>
    <t>Sheila Clay</t>
  </si>
  <si>
    <t>Nicholas Flores</t>
  </si>
  <si>
    <t>Jasmin Jones</t>
  </si>
  <si>
    <t>Matthew Gardner</t>
  </si>
  <si>
    <t>Joseph Perkins</t>
  </si>
  <si>
    <t>Ashley Adams MD</t>
  </si>
  <si>
    <t>Cheryl Stevens</t>
  </si>
  <si>
    <t>Jorge George</t>
  </si>
  <si>
    <t>Ann Mooney</t>
  </si>
  <si>
    <t>James Mendoza</t>
  </si>
  <si>
    <t>Kaitlin Garrison</t>
  </si>
  <si>
    <t>Jeremy Jackson</t>
  </si>
  <si>
    <t>Dale Craig</t>
  </si>
  <si>
    <t>Joseph Hooper</t>
  </si>
  <si>
    <t>Alexander Adams</t>
  </si>
  <si>
    <t>Ashlee Mills</t>
  </si>
  <si>
    <t>Brittany Jenkins</t>
  </si>
  <si>
    <t>Eddie Gonzales</t>
  </si>
  <si>
    <t>Edward Valencia</t>
  </si>
  <si>
    <t>Emma Bruce</t>
  </si>
  <si>
    <t>Carl Wade DDS</t>
  </si>
  <si>
    <t>Brandon Alvarado</t>
  </si>
  <si>
    <t>Jennifer Clark</t>
  </si>
  <si>
    <t>David Johnson</t>
  </si>
  <si>
    <t>April Marquez</t>
  </si>
  <si>
    <t>Joseph Guerrero</t>
  </si>
  <si>
    <t>Michael Hanson</t>
  </si>
  <si>
    <t>William Hill</t>
  </si>
  <si>
    <t>Kelsey Huber</t>
  </si>
  <si>
    <t>Hailey Chandler</t>
  </si>
  <si>
    <t>Cheyenne Rose</t>
  </si>
  <si>
    <t>Richard Petersen</t>
  </si>
  <si>
    <t>Kathryn Gray</t>
  </si>
  <si>
    <t>Victor Collins</t>
  </si>
  <si>
    <t>Jason Hernandez</t>
  </si>
  <si>
    <t>Jacob Torres</t>
  </si>
  <si>
    <t>Erin Hernandez</t>
  </si>
  <si>
    <t>Jacob Guzman</t>
  </si>
  <si>
    <t>Mike Armstrong</t>
  </si>
  <si>
    <t>Cindy Rowland</t>
  </si>
  <si>
    <t>Kenneth Matthews</t>
  </si>
  <si>
    <t>Susan Valdez</t>
  </si>
  <si>
    <t>Stephanie Manning</t>
  </si>
  <si>
    <t>Logan Galloway</t>
  </si>
  <si>
    <t>Christopher Stone</t>
  </si>
  <si>
    <t>Megan Pitts</t>
  </si>
  <si>
    <t>Richard Gardner</t>
  </si>
  <si>
    <t>Samuel Moore</t>
  </si>
  <si>
    <t>Robert Stokes</t>
  </si>
  <si>
    <t>Danielle Ramirez</t>
  </si>
  <si>
    <t>Taylor White</t>
  </si>
  <si>
    <t>Jordan Krause</t>
  </si>
  <si>
    <t>Kimberly King</t>
  </si>
  <si>
    <t>Sharon Russell</t>
  </si>
  <si>
    <t>Kevin Cooper</t>
  </si>
  <si>
    <t>Darrell Ramos</t>
  </si>
  <si>
    <t>Dr. Terry Alvarado</t>
  </si>
  <si>
    <t>Kathy Wilson</t>
  </si>
  <si>
    <t>Brandon Le</t>
  </si>
  <si>
    <t>Mary Wright</t>
  </si>
  <si>
    <t>Douglas Reynolds</t>
  </si>
  <si>
    <t>Leroy Harris</t>
  </si>
  <si>
    <t>Ricardo Dixon</t>
  </si>
  <si>
    <t>Debra Smith</t>
  </si>
  <si>
    <t>Jasmine James</t>
  </si>
  <si>
    <t>Felicia Morton</t>
  </si>
  <si>
    <t>Sylvia Jenkins</t>
  </si>
  <si>
    <t>Elizabeth White</t>
  </si>
  <si>
    <t>Steven Steele</t>
  </si>
  <si>
    <t>Amanda Ramirez</t>
  </si>
  <si>
    <t>Kyle Jackson</t>
  </si>
  <si>
    <t>Sharon Wilkins</t>
  </si>
  <si>
    <t>Austin Hammond</t>
  </si>
  <si>
    <t>Jessica Barajas</t>
  </si>
  <si>
    <t>Jamie Jimenez</t>
  </si>
  <si>
    <t>James Carter</t>
  </si>
  <si>
    <t>John Williams</t>
  </si>
  <si>
    <t>Alicia Oneill</t>
  </si>
  <si>
    <t>Rebecca Huff</t>
  </si>
  <si>
    <t>Diana Scott</t>
  </si>
  <si>
    <t>Brian Young</t>
  </si>
  <si>
    <t>Susan Wright</t>
  </si>
  <si>
    <t>Kayla Banks</t>
  </si>
  <si>
    <t>Zachary Pierce</t>
  </si>
  <si>
    <t>Nicolas Owen</t>
  </si>
  <si>
    <t>Martha Carney</t>
  </si>
  <si>
    <t>Francisco Hicks</t>
  </si>
  <si>
    <t>Matthew Parker</t>
  </si>
  <si>
    <t>Paul Bryant</t>
  </si>
  <si>
    <t>Bruce Dennis</t>
  </si>
  <si>
    <t>Joseph Bates</t>
  </si>
  <si>
    <t>Kelly Pacheco</t>
  </si>
  <si>
    <t>Jeffrey Weber</t>
  </si>
  <si>
    <t>Andrew Krueger</t>
  </si>
  <si>
    <t>Kathleen Cox</t>
  </si>
  <si>
    <t>Jamie Bradley</t>
  </si>
  <si>
    <t>Robert Martinez</t>
  </si>
  <si>
    <t>Christopher Rogers</t>
  </si>
  <si>
    <t>Roberto Parrish</t>
  </si>
  <si>
    <t>Amber Kennedy</t>
  </si>
  <si>
    <t>Maria Davis</t>
  </si>
  <si>
    <t>Terry Gilbert</t>
  </si>
  <si>
    <t>Devon Schmitt</t>
  </si>
  <si>
    <t>Robert Mosley</t>
  </si>
  <si>
    <t>Paul Scott</t>
  </si>
  <si>
    <t>Kristin Alvarez</t>
  </si>
  <si>
    <t>Kevin Jackson</t>
  </si>
  <si>
    <t>Mrs. Lauren Potter DDS</t>
  </si>
  <si>
    <t>Jason Brown</t>
  </si>
  <si>
    <t>Jamie Santos</t>
  </si>
  <si>
    <t>James Taylor</t>
  </si>
  <si>
    <t>Alicia Vincent</t>
  </si>
  <si>
    <t>Kenneth Adams</t>
  </si>
  <si>
    <t>Shelby Browning</t>
  </si>
  <si>
    <t>Johnny Hill</t>
  </si>
  <si>
    <t>Nicholas Tucker</t>
  </si>
  <si>
    <t>Theresa Cline</t>
  </si>
  <si>
    <t>Christine Wheeler</t>
  </si>
  <si>
    <t>Carlos Wells</t>
  </si>
  <si>
    <t>Randall Bell</t>
  </si>
  <si>
    <t>Kendra Mckinney</t>
  </si>
  <si>
    <t>Amanda Kim</t>
  </si>
  <si>
    <t>Megan Morgan</t>
  </si>
  <si>
    <t>Vincent Kramer</t>
  </si>
  <si>
    <t>Raymond Bean</t>
  </si>
  <si>
    <t>Reginald Hebert</t>
  </si>
  <si>
    <t>Jeremy Vazquez</t>
  </si>
  <si>
    <t>Michael Stewart</t>
  </si>
  <si>
    <t>Kevin Johnson</t>
  </si>
  <si>
    <t>Tara Hughes</t>
  </si>
  <si>
    <t>Sandra Perkins</t>
  </si>
  <si>
    <t>Heather Bell</t>
  </si>
  <si>
    <t>Nancy Boyd</t>
  </si>
  <si>
    <t>Raymond Reyes</t>
  </si>
  <si>
    <t>Cassandra Jordan</t>
  </si>
  <si>
    <t>Evelyn Harris</t>
  </si>
  <si>
    <t>Shannon Maynard</t>
  </si>
  <si>
    <t>Marie James</t>
  </si>
  <si>
    <t>Maria Carroll</t>
  </si>
  <si>
    <t>Jessica Sloan</t>
  </si>
  <si>
    <t>Scott Craig</t>
  </si>
  <si>
    <t>Kaitlin Brown</t>
  </si>
  <si>
    <t>William Beck</t>
  </si>
  <si>
    <t>Eric Mason</t>
  </si>
  <si>
    <t>Lisa Lowe</t>
  </si>
  <si>
    <t>Roy Miller</t>
  </si>
  <si>
    <t>Christopher Espinoza</t>
  </si>
  <si>
    <t>Claire Cole</t>
  </si>
  <si>
    <t>Eric Nunez</t>
  </si>
  <si>
    <t>David Bell</t>
  </si>
  <si>
    <t>Patrick Hensley MD</t>
  </si>
  <si>
    <t>John Cox</t>
  </si>
  <si>
    <t>Michelle Sullivan</t>
  </si>
  <si>
    <t>Angela Todd</t>
  </si>
  <si>
    <t>Luke Saunders</t>
  </si>
  <si>
    <t>Dr. Jennifer Benton DVM</t>
  </si>
  <si>
    <t>Keith Smith</t>
  </si>
  <si>
    <t>Danielle Mitchell</t>
  </si>
  <si>
    <t>Jesus Hernandez</t>
  </si>
  <si>
    <t>Jason Norman</t>
  </si>
  <si>
    <t>Laura Poole</t>
  </si>
  <si>
    <t>Sarah Wagner</t>
  </si>
  <si>
    <t>Bryan Baird</t>
  </si>
  <si>
    <t>Amy Thompson</t>
  </si>
  <si>
    <t>Ashley Wright</t>
  </si>
  <si>
    <t>Michelle Lynch</t>
  </si>
  <si>
    <t>Ryan Hale</t>
  </si>
  <si>
    <t>Marie Jefferson</t>
  </si>
  <si>
    <t>Vanessa Smith</t>
  </si>
  <si>
    <t>Ryan Foster</t>
  </si>
  <si>
    <t>David Lara</t>
  </si>
  <si>
    <t>Jonathan Young</t>
  </si>
  <si>
    <t>Debra Townsend</t>
  </si>
  <si>
    <t>John Thomas</t>
  </si>
  <si>
    <t>Bryan Anderson</t>
  </si>
  <si>
    <t>Sarah Miller</t>
  </si>
  <si>
    <t>Robert Hill</t>
  </si>
  <si>
    <t>Joshua Rojas</t>
  </si>
  <si>
    <t>Angelica Lewis</t>
  </si>
  <si>
    <t>Jessica Russell</t>
  </si>
  <si>
    <t>Mary Johnson</t>
  </si>
  <si>
    <t>Joseph Knight</t>
  </si>
  <si>
    <t>Jessica Greene</t>
  </si>
  <si>
    <t>Vincent Perez</t>
  </si>
  <si>
    <t>Dennis Rivera</t>
  </si>
  <si>
    <t>Nancy Keller</t>
  </si>
  <si>
    <t>Michelle Anderson</t>
  </si>
  <si>
    <t>Anthony May</t>
  </si>
  <si>
    <t>Michelle Guerra</t>
  </si>
  <si>
    <t>Meghan Ballard</t>
  </si>
  <si>
    <t>Brian Wheeler</t>
  </si>
  <si>
    <t>William Rosario</t>
  </si>
  <si>
    <t>Jessica Hunt</t>
  </si>
  <si>
    <t>Tony Chavez</t>
  </si>
  <si>
    <t>Mary Crawford</t>
  </si>
  <si>
    <t>Roger Morrison</t>
  </si>
  <si>
    <t>Bethany Harrison</t>
  </si>
  <si>
    <t>Lisa Mcintyre</t>
  </si>
  <si>
    <t>Carolyn Gonzalez</t>
  </si>
  <si>
    <t>Christina Oconnell</t>
  </si>
  <si>
    <t>James Garcia</t>
  </si>
  <si>
    <t>Emily Frederick</t>
  </si>
  <si>
    <t>Shawn Wise</t>
  </si>
  <si>
    <t>Carrie Alvarez</t>
  </si>
  <si>
    <t>Matthew James</t>
  </si>
  <si>
    <t>Jerry Alvarado</t>
  </si>
  <si>
    <t>Paul Zimmerman</t>
  </si>
  <si>
    <t>Carl Ryan</t>
  </si>
  <si>
    <t>Kelly Roberts</t>
  </si>
  <si>
    <t>Jack Woods</t>
  </si>
  <si>
    <t>Albert Alexander Jr.</t>
  </si>
  <si>
    <t>Teresa Perez</t>
  </si>
  <si>
    <t>Amanda Williams</t>
  </si>
  <si>
    <t>Kristen Lawson</t>
  </si>
  <si>
    <t>Jacob Stewart</t>
  </si>
  <si>
    <t>Daniel Brooks</t>
  </si>
  <si>
    <t>Aaron Dunn</t>
  </si>
  <si>
    <t>Jacob Martinez</t>
  </si>
  <si>
    <t>Raymond Burgess</t>
  </si>
  <si>
    <t>Jennifer Cooke</t>
  </si>
  <si>
    <t>Tyrone White</t>
  </si>
  <si>
    <t>Charles Williams</t>
  </si>
  <si>
    <t>Amy Page</t>
  </si>
  <si>
    <t>Scott Gibbs</t>
  </si>
  <si>
    <t>Angela Roberts</t>
  </si>
  <si>
    <t>Kyle Hernandez</t>
  </si>
  <si>
    <t>Cynthia Ferguson</t>
  </si>
  <si>
    <t>Brandi Garcia</t>
  </si>
  <si>
    <t>Matthew Blake</t>
  </si>
  <si>
    <t>Lauren Howell</t>
  </si>
  <si>
    <t>Joseph Wilson</t>
  </si>
  <si>
    <t>Tanner Vance</t>
  </si>
  <si>
    <t>Michael Nash</t>
  </si>
  <si>
    <t>Brent Thomas</t>
  </si>
  <si>
    <t>Harold Mitchell</t>
  </si>
  <si>
    <t>Ashley Palmer</t>
  </si>
  <si>
    <t>Stephen Hogan</t>
  </si>
  <si>
    <t>George Ashley</t>
  </si>
  <si>
    <t>Sara Bailey</t>
  </si>
  <si>
    <t>Tanya Thomas MD</t>
  </si>
  <si>
    <t>Maria Galvan</t>
  </si>
  <si>
    <t>Duane Kelly</t>
  </si>
  <si>
    <t>Frank Reynolds</t>
  </si>
  <si>
    <t>Aaron Kim</t>
  </si>
  <si>
    <t>David Allen</t>
  </si>
  <si>
    <t>Monica Lee</t>
  </si>
  <si>
    <t>Erica Scott</t>
  </si>
  <si>
    <t>Melissa Mitchell</t>
  </si>
  <si>
    <t>Joshua Murray</t>
  </si>
  <si>
    <t>John Jones</t>
  </si>
  <si>
    <t>Cheryl Johnson</t>
  </si>
  <si>
    <t>Lisa Farmer</t>
  </si>
  <si>
    <t>Christopher Walker</t>
  </si>
  <si>
    <t>Elizabeth Coffey</t>
  </si>
  <si>
    <t>Joseph Clark</t>
  </si>
  <si>
    <t>Jamie Brewer</t>
  </si>
  <si>
    <t>Lauren Boyer</t>
  </si>
  <si>
    <t>Howard Esparza</t>
  </si>
  <si>
    <t>James Hickman</t>
  </si>
  <si>
    <t>Jennifer Hernandez</t>
  </si>
  <si>
    <t>Shannon Warren</t>
  </si>
  <si>
    <t>Ashley Aguilar</t>
  </si>
  <si>
    <t>Daniel Price</t>
  </si>
  <si>
    <t>James Perez</t>
  </si>
  <si>
    <t>Jerry Smith</t>
  </si>
  <si>
    <t>Andre Fernandez</t>
  </si>
  <si>
    <t>Anthony West</t>
  </si>
  <si>
    <t>Amber Flowers</t>
  </si>
  <si>
    <t>Patricia Davis</t>
  </si>
  <si>
    <t>Jasmine Gibbs</t>
  </si>
  <si>
    <t>Nicole Dudley</t>
  </si>
  <si>
    <t>Lori Colon</t>
  </si>
  <si>
    <t>William Carr</t>
  </si>
  <si>
    <t>Jeffrey Dixon</t>
  </si>
  <si>
    <t>Robert Sexton</t>
  </si>
  <si>
    <t>Brooke Gonzalez</t>
  </si>
  <si>
    <t>Victoria Bryant MD</t>
  </si>
  <si>
    <t>Nancy Kennedy</t>
  </si>
  <si>
    <t>Andrew Barry</t>
  </si>
  <si>
    <t>Carlos Wheeler</t>
  </si>
  <si>
    <t>Isabella Roach</t>
  </si>
  <si>
    <t>Samantha Williams</t>
  </si>
  <si>
    <t>Samuel Little MD</t>
  </si>
  <si>
    <t>Paul Taylor</t>
  </si>
  <si>
    <t>Susan Baker</t>
  </si>
  <si>
    <t>Mark Fry</t>
  </si>
  <si>
    <t>Megan Mclean</t>
  </si>
  <si>
    <t>Caitlin Hunt</t>
  </si>
  <si>
    <t>Jenna Holland</t>
  </si>
  <si>
    <t>Stephanie Oconnell</t>
  </si>
  <si>
    <t>Andrea Hill</t>
  </si>
  <si>
    <t xml:space="preserve">Year </t>
  </si>
  <si>
    <t>Month</t>
  </si>
  <si>
    <t>Row Labels</t>
  </si>
  <si>
    <t>Grand Total</t>
  </si>
  <si>
    <t>Sum of Sales</t>
  </si>
  <si>
    <t>Sum of Profit</t>
  </si>
  <si>
    <t>Column Labels</t>
  </si>
  <si>
    <t>Count of CustomerName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</si>
</sst>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DCEAF5"/>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1" fontId="0" fillId="0" borderId="0" xfId="0" applyNumberFormat="1" applyAlignment="1">
      <alignment horizontal="left"/>
    </xf>
    <xf numFmtId="0" fontId="0" fillId="2" borderId="0" xfId="0" applyFill="1"/>
  </cellXfs>
  <cellStyles count="2">
    <cellStyle name="Comma" xfId="1" builtinId="3"/>
    <cellStyle name="Normal" xfId="0" builtinId="0"/>
  </cellStyles>
  <dxfs count="22">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font>
        <b/>
        <color theme="1"/>
      </font>
      <border>
        <bottom style="thin">
          <color rgb="FF4F81BD"/>
        </bottom>
        <vertical/>
        <horizontal/>
      </border>
    </dxf>
    <dxf>
      <font>
        <color theme="1"/>
      </font>
      <fill>
        <patternFill>
          <bgColor theme="3" tint="0.749961851863155"/>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fill>
        <patternFill>
          <bgColor theme="3" tint="0.499984740745262"/>
        </patternFill>
      </fill>
      <border>
        <left style="thin">
          <color rgb="FF4F81BD"/>
        </left>
        <right style="thin">
          <color rgb="FF4F81BD"/>
        </right>
        <top style="thin">
          <color rgb="FF4F81BD"/>
        </top>
        <bottom style="thin">
          <color rgb="FF4F81BD"/>
        </bottom>
        <vertical/>
        <horizontal/>
      </border>
    </dxf>
    <dxf>
      <font>
        <b/>
        <color theme="1"/>
      </font>
      <border>
        <bottom style="thin">
          <color theme="4"/>
        </bottom>
        <vertical/>
        <horizontal/>
      </border>
    </dxf>
    <dxf>
      <font>
        <color theme="1"/>
      </font>
      <fill>
        <patternFill>
          <bgColor theme="3" tint="0.89996032593768116"/>
        </patternFill>
      </fill>
      <border>
        <left style="thin">
          <color theme="4"/>
        </left>
        <right style="thin">
          <color theme="4"/>
        </right>
        <top style="thin">
          <color theme="4"/>
        </top>
        <bottom style="thin">
          <color theme="4"/>
        </bottom>
        <vertical/>
        <horizontal/>
      </border>
    </dxf>
    <dxf>
      <fill>
        <patternFill>
          <bgColor theme="7" tint="-0.24994659260841701"/>
        </patternFill>
      </fill>
    </dxf>
    <dxf>
      <font>
        <b/>
        <color theme="1"/>
      </font>
      <border>
        <bottom style="thin">
          <color rgb="FF4F81BD"/>
        </bottom>
        <vertical/>
        <horizontal/>
      </border>
    </dxf>
    <dxf>
      <font>
        <color theme="1"/>
      </font>
      <fill>
        <patternFill>
          <bgColor theme="3" tint="0.749961851863155"/>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b/>
        <i val="0"/>
        <sz val="14"/>
        <color theme="7" tint="-0.24994659260841701"/>
      </font>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3" tint="0.24994659260841701"/>
      </font>
      <border>
        <left style="thin">
          <color rgb="FF4F81BD"/>
        </left>
        <right style="thin">
          <color rgb="FF4F81BD"/>
        </right>
        <top style="thin">
          <color rgb="FF4F81BD"/>
        </top>
        <bottom style="thin">
          <color rgb="FF4F81BD"/>
        </bottom>
        <vertical/>
        <horizontal/>
      </border>
    </dxf>
  </dxfs>
  <tableStyles count="7" defaultTableStyle="TableStyleMedium2" defaultPivotStyle="PivotStyleLight16">
    <tableStyle name="2" pivot="0" table="0" count="10" xr9:uid="{41439F07-C3AA-43D0-97AA-A6B2D2B5190C}">
      <tableStyleElement type="wholeTable" dxfId="21"/>
      <tableStyleElement type="headerRow" dxfId="20"/>
    </tableStyle>
    <tableStyle name="2 2" pivot="0" table="0" count="10" xr9:uid="{6EF540B2-F0A3-4773-9236-ED46C1751EFE}">
      <tableStyleElement type="wholeTable" dxfId="19"/>
      <tableStyleElement type="headerRow" dxfId="18"/>
    </tableStyle>
    <tableStyle name="i" pivot="0" table="0" count="10" xr9:uid="{0ACE622D-A879-4E92-BCE2-4E90BF3F1150}">
      <tableStyleElement type="wholeTable" dxfId="17"/>
      <tableStyleElement type="headerRow" dxfId="16"/>
    </tableStyle>
    <tableStyle name="ik" pivot="0" table="0" count="2" xr9:uid="{1CABF011-1F37-42BE-B567-7034A7D1AEDA}">
      <tableStyleElement type="wholeTable" dxfId="15"/>
    </tableStyle>
    <tableStyle name="SlicerStyleLight1 2" pivot="0" table="0" count="10" xr9:uid="{3072DBD4-6D8F-497F-841C-7E8DF7A124AC}">
      <tableStyleElement type="wholeTable" dxfId="14"/>
      <tableStyleElement type="headerRow" dxfId="13"/>
    </tableStyle>
    <tableStyle name="SlicerStyleOther2 2" pivot="0" table="0" count="10" xr9:uid="{37FB6675-A534-4F56-872B-2B16BF4D0A6A}">
      <tableStyleElement type="wholeTable" dxfId="12"/>
      <tableStyleElement type="headerRow" dxfId="11"/>
    </tableStyle>
    <tableStyle name="SlicerStyleOther2 3" pivot="0" table="0" count="10" xr9:uid="{61364737-BF4A-4214-BDA6-45BFDDF49C65}">
      <tableStyleElement type="wholeTable" dxfId="10"/>
      <tableStyleElement type="headerRow" dxfId="9"/>
    </tableStyle>
  </tableStyles>
  <colors>
    <mruColors>
      <color rgb="FFA6CAEC"/>
      <color rgb="FFDCEAF5"/>
      <color rgb="FF2E6F95"/>
      <color rgb="FF4F9FD9"/>
      <color rgb="FF1F3A5F"/>
      <color rgb="FFFFFFFF"/>
      <color rgb="FFF4F6F9"/>
    </mruColors>
  </colors>
  <extLst>
    <ext xmlns:x14="http://schemas.microsoft.com/office/spreadsheetml/2009/9/main" uri="{46F421CA-312F-682f-3DD2-61675219B42D}">
      <x14:dxfs count="49">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fgColor theme="7" tint="-0.24994659260841701"/>
            </patternFill>
          </fill>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theme="4"/>
          </font>
          <fill>
            <patternFill patternType="solid">
              <fgColor auto="1"/>
              <bgColor rgb="FFA6CAEC"/>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theme="4"/>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2">
          <x14:slicerStyleElements>
            <x14:slicerStyleElement type="unselectedItemWithData" dxfId="48"/>
            <x14:slicerStyleElement type="unselectedItemWithNoData" dxfId="47"/>
            <x14:slicerStyleElement type="selectedItemWithData" dxfId="46"/>
            <x14:slicerStyleElement type="selectedItemWithNoData" dxfId="45"/>
            <x14:slicerStyleElement type="hoveredUnselectedItemWithData" dxfId="44"/>
            <x14:slicerStyleElement type="hoveredSelectedItemWithData" dxfId="43"/>
            <x14:slicerStyleElement type="hoveredUnselectedItemWithNoData" dxfId="42"/>
            <x14:slicerStyleElement type="hoveredSelectedItemWithNoData" dxfId="41"/>
          </x14:slicerStyleElements>
        </x14:slicerStyle>
        <x14:slicerStyle name="2 2">
          <x14:slicerStyleElements>
            <x14:slicerStyleElement type="unselectedItemWithData" dxfId="40"/>
            <x14:slicerStyleElement type="unselectedItemWithNoData" dxfId="39"/>
            <x14:slicerStyleElement type="selectedItemWithData" dxfId="38"/>
            <x14:slicerStyleElement type="selectedItemWithNoData" dxfId="37"/>
            <x14:slicerStyleElement type="hoveredUnselectedItemWithData" dxfId="36"/>
            <x14:slicerStyleElement type="hoveredSelectedItemWithData" dxfId="35"/>
            <x14:slicerStyleElement type="hoveredUnselectedItemWithNoData" dxfId="34"/>
            <x14:slicerStyleElement type="hoveredSelectedItemWithNoData" dxfId="33"/>
          </x14:slicerStyleElements>
        </x14:slicerStyle>
        <x14:slicerStyle name="i">
          <x14:slicerStyleElements>
            <x14:slicerStyleElement type="unselectedItemWithData" dxfId="32"/>
            <x14:slicerStyleElement type="unselectedItemWithNoData" dxfId="31"/>
            <x14:slicerStyleElement type="selectedItemWithData" dxfId="30"/>
            <x14:slicerStyleElement type="selectedItemWithNoData" dxfId="29"/>
            <x14:slicerStyleElement type="hoveredUnselectedItemWithData" dxfId="28"/>
            <x14:slicerStyleElement type="hoveredSelectedItemWithData" dxfId="27"/>
            <x14:slicerStyleElement type="hoveredUnselectedItemWithNoData" dxfId="26"/>
            <x14:slicerStyleElement type="hoveredSelectedItemWithNoData" dxfId="25"/>
          </x14:slicerStyleElements>
        </x14:slicerStyle>
        <x14:slicerStyle name="ik">
          <x14:slicerStyleElements>
            <x14:slicerStyleElement type="selectedItemWithData" dxfId="24"/>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dashboard.xlsx]pivot!PivotTable5</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rgbClr val="2E6F9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1F3A5F"/>
            </a:solidFill>
            <a:round/>
          </a:ln>
          <a:effectLst/>
        </c:spPr>
        <c:marker>
          <c:symbol val="circle"/>
          <c:size val="5"/>
          <c:spPr>
            <a:solidFill>
              <a:srgbClr val="2E6F95"/>
            </a:solidFill>
            <a:ln w="9525">
              <a:solidFill>
                <a:srgbClr val="1F3A5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4F9FD9"/>
            </a:solidFill>
            <a:round/>
          </a:ln>
          <a:effectLst>
            <a:softEdge rad="0"/>
          </a:effectLst>
        </c:spPr>
        <c:marker>
          <c:symbol val="circle"/>
          <c:size val="5"/>
          <c:spPr>
            <a:solidFill>
              <a:srgbClr val="1F3A5F"/>
            </a:solidFill>
            <a:ln w="9525">
              <a:solidFill>
                <a:schemeClr val="accent3"/>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9781277340333"/>
          <c:y val="0.30092592592592593"/>
          <c:w val="0.82404265091863527"/>
          <c:h val="0.59204505686789155"/>
        </c:manualLayout>
      </c:layout>
      <c:lineChart>
        <c:grouping val="standard"/>
        <c:varyColors val="0"/>
        <c:ser>
          <c:idx val="0"/>
          <c:order val="0"/>
          <c:tx>
            <c:strRef>
              <c:f>pivot!$B$18:$B$19</c:f>
              <c:strCache>
                <c:ptCount val="1"/>
                <c:pt idx="0">
                  <c:v>Electronics</c:v>
                </c:pt>
              </c:strCache>
            </c:strRef>
          </c:tx>
          <c:spPr>
            <a:ln w="28575" cap="rnd">
              <a:solidFill>
                <a:schemeClr val="accent1"/>
              </a:solidFill>
              <a:round/>
            </a:ln>
            <a:effectLst/>
          </c:spPr>
          <c:marker>
            <c:symbol val="circle"/>
            <c:size val="5"/>
            <c:spPr>
              <a:solidFill>
                <a:srgbClr val="2E6F95"/>
              </a:solidFill>
              <a:ln w="9525">
                <a:solidFill>
                  <a:schemeClr val="accent1"/>
                </a:solidFill>
              </a:ln>
              <a:effectLst/>
            </c:spPr>
          </c:marker>
          <c:cat>
            <c:strRef>
              <c:f>pivot!$A$20:$A$25</c:f>
              <c:strCache>
                <c:ptCount val="6"/>
                <c:pt idx="0">
                  <c:v>2020</c:v>
                </c:pt>
                <c:pt idx="1">
                  <c:v>2021</c:v>
                </c:pt>
                <c:pt idx="2">
                  <c:v>2022</c:v>
                </c:pt>
                <c:pt idx="3">
                  <c:v>2023</c:v>
                </c:pt>
                <c:pt idx="4">
                  <c:v>2024</c:v>
                </c:pt>
                <c:pt idx="5">
                  <c:v>2025</c:v>
                </c:pt>
              </c:strCache>
            </c:strRef>
          </c:cat>
          <c:val>
            <c:numRef>
              <c:f>pivot!$B$20:$B$25</c:f>
              <c:numCache>
                <c:formatCode>_(* #,##0_);_(* \(#,##0\);_(* "-"??_);_(@_)</c:formatCode>
                <c:ptCount val="6"/>
                <c:pt idx="0">
                  <c:v>47437</c:v>
                </c:pt>
                <c:pt idx="1">
                  <c:v>98670</c:v>
                </c:pt>
                <c:pt idx="2">
                  <c:v>117381</c:v>
                </c:pt>
                <c:pt idx="3">
                  <c:v>141682</c:v>
                </c:pt>
                <c:pt idx="4">
                  <c:v>82112</c:v>
                </c:pt>
                <c:pt idx="5">
                  <c:v>31298</c:v>
                </c:pt>
              </c:numCache>
            </c:numRef>
          </c:val>
          <c:smooth val="0"/>
          <c:extLst>
            <c:ext xmlns:c16="http://schemas.microsoft.com/office/drawing/2014/chart" uri="{C3380CC4-5D6E-409C-BE32-E72D297353CC}">
              <c16:uniqueId val="{00000000-A22F-482D-81C2-55FF0B2B0760}"/>
            </c:ext>
          </c:extLst>
        </c:ser>
        <c:ser>
          <c:idx val="1"/>
          <c:order val="1"/>
          <c:tx>
            <c:strRef>
              <c:f>pivot!$C$18:$C$19</c:f>
              <c:strCache>
                <c:ptCount val="1"/>
                <c:pt idx="0">
                  <c:v>Furniture</c:v>
                </c:pt>
              </c:strCache>
            </c:strRef>
          </c:tx>
          <c:spPr>
            <a:ln w="28575" cap="rnd">
              <a:solidFill>
                <a:srgbClr val="1F3A5F"/>
              </a:solidFill>
              <a:round/>
            </a:ln>
            <a:effectLst/>
          </c:spPr>
          <c:marker>
            <c:symbol val="circle"/>
            <c:size val="5"/>
            <c:spPr>
              <a:solidFill>
                <a:srgbClr val="2E6F95"/>
              </a:solidFill>
              <a:ln w="9525">
                <a:solidFill>
                  <a:srgbClr val="1F3A5F"/>
                </a:solidFill>
              </a:ln>
              <a:effectLst/>
            </c:spPr>
          </c:marker>
          <c:cat>
            <c:strRef>
              <c:f>pivot!$A$20:$A$25</c:f>
              <c:strCache>
                <c:ptCount val="6"/>
                <c:pt idx="0">
                  <c:v>2020</c:v>
                </c:pt>
                <c:pt idx="1">
                  <c:v>2021</c:v>
                </c:pt>
                <c:pt idx="2">
                  <c:v>2022</c:v>
                </c:pt>
                <c:pt idx="3">
                  <c:v>2023</c:v>
                </c:pt>
                <c:pt idx="4">
                  <c:v>2024</c:v>
                </c:pt>
                <c:pt idx="5">
                  <c:v>2025</c:v>
                </c:pt>
              </c:strCache>
            </c:strRef>
          </c:cat>
          <c:val>
            <c:numRef>
              <c:f>pivot!$C$20:$C$25</c:f>
              <c:numCache>
                <c:formatCode>_(* #,##0_);_(* \(#,##0\);_(* "-"??_);_(@_)</c:formatCode>
                <c:ptCount val="6"/>
                <c:pt idx="0">
                  <c:v>83024</c:v>
                </c:pt>
                <c:pt idx="1">
                  <c:v>89480</c:v>
                </c:pt>
                <c:pt idx="2">
                  <c:v>138788</c:v>
                </c:pt>
                <c:pt idx="3">
                  <c:v>100947</c:v>
                </c:pt>
                <c:pt idx="4">
                  <c:v>114013</c:v>
                </c:pt>
                <c:pt idx="5">
                  <c:v>14290</c:v>
                </c:pt>
              </c:numCache>
            </c:numRef>
          </c:val>
          <c:smooth val="0"/>
          <c:extLst>
            <c:ext xmlns:c16="http://schemas.microsoft.com/office/drawing/2014/chart" uri="{C3380CC4-5D6E-409C-BE32-E72D297353CC}">
              <c16:uniqueId val="{00000001-4E88-44CD-A063-0682C8B766DB}"/>
            </c:ext>
          </c:extLst>
        </c:ser>
        <c:ser>
          <c:idx val="2"/>
          <c:order val="2"/>
          <c:tx>
            <c:strRef>
              <c:f>pivot!$D$18:$D$19</c:f>
              <c:strCache>
                <c:ptCount val="1"/>
                <c:pt idx="0">
                  <c:v>Office Supplies</c:v>
                </c:pt>
              </c:strCache>
            </c:strRef>
          </c:tx>
          <c:spPr>
            <a:ln w="28575" cap="rnd">
              <a:solidFill>
                <a:srgbClr val="4F9FD9"/>
              </a:solidFill>
              <a:round/>
            </a:ln>
            <a:effectLst>
              <a:softEdge rad="0"/>
            </a:effectLst>
          </c:spPr>
          <c:marker>
            <c:symbol val="circle"/>
            <c:size val="5"/>
            <c:spPr>
              <a:solidFill>
                <a:srgbClr val="1F3A5F"/>
              </a:solidFill>
              <a:ln w="9525">
                <a:solidFill>
                  <a:schemeClr val="accent3"/>
                </a:solidFill>
              </a:ln>
              <a:effectLst>
                <a:softEdge rad="0"/>
              </a:effectLst>
            </c:spPr>
          </c:marker>
          <c:cat>
            <c:strRef>
              <c:f>pivot!$A$20:$A$25</c:f>
              <c:strCache>
                <c:ptCount val="6"/>
                <c:pt idx="0">
                  <c:v>2020</c:v>
                </c:pt>
                <c:pt idx="1">
                  <c:v>2021</c:v>
                </c:pt>
                <c:pt idx="2">
                  <c:v>2022</c:v>
                </c:pt>
                <c:pt idx="3">
                  <c:v>2023</c:v>
                </c:pt>
                <c:pt idx="4">
                  <c:v>2024</c:v>
                </c:pt>
                <c:pt idx="5">
                  <c:v>2025</c:v>
                </c:pt>
              </c:strCache>
            </c:strRef>
          </c:cat>
          <c:val>
            <c:numRef>
              <c:f>pivot!$D$20:$D$25</c:f>
              <c:numCache>
                <c:formatCode>_(* #,##0_);_(* \(#,##0\);_(* "-"??_);_(@_)</c:formatCode>
                <c:ptCount val="6"/>
                <c:pt idx="0">
                  <c:v>93642</c:v>
                </c:pt>
                <c:pt idx="1">
                  <c:v>95081</c:v>
                </c:pt>
                <c:pt idx="2">
                  <c:v>136944</c:v>
                </c:pt>
                <c:pt idx="3">
                  <c:v>79042</c:v>
                </c:pt>
                <c:pt idx="4">
                  <c:v>112211</c:v>
                </c:pt>
                <c:pt idx="5">
                  <c:v>34655</c:v>
                </c:pt>
              </c:numCache>
            </c:numRef>
          </c:val>
          <c:smooth val="0"/>
          <c:extLst>
            <c:ext xmlns:c16="http://schemas.microsoft.com/office/drawing/2014/chart" uri="{C3380CC4-5D6E-409C-BE32-E72D297353CC}">
              <c16:uniqueId val="{00000002-4E88-44CD-A063-0682C8B766DB}"/>
            </c:ext>
          </c:extLst>
        </c:ser>
        <c:dLbls>
          <c:showLegendKey val="0"/>
          <c:showVal val="0"/>
          <c:showCatName val="0"/>
          <c:showSerName val="0"/>
          <c:showPercent val="0"/>
          <c:showBubbleSize val="0"/>
        </c:dLbls>
        <c:marker val="1"/>
        <c:smooth val="0"/>
        <c:axId val="1503425264"/>
        <c:axId val="1503426224"/>
      </c:lineChart>
      <c:catAx>
        <c:axId val="150342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3426224"/>
        <c:crosses val="autoZero"/>
        <c:auto val="1"/>
        <c:lblAlgn val="ctr"/>
        <c:lblOffset val="100"/>
        <c:noMultiLvlLbl val="0"/>
      </c:catAx>
      <c:valAx>
        <c:axId val="15034262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3425264"/>
        <c:crosses val="autoZero"/>
        <c:crossBetween val="between"/>
      </c:valAx>
      <c:spPr>
        <a:noFill/>
        <a:ln>
          <a:noFill/>
        </a:ln>
        <a:effectLst/>
      </c:spPr>
    </c:plotArea>
    <c:legend>
      <c:legendPos val="r"/>
      <c:layout>
        <c:manualLayout>
          <c:xMode val="edge"/>
          <c:yMode val="edge"/>
          <c:x val="2.3413237131697539E-3"/>
          <c:y val="7.8116797900262451E-3"/>
          <c:w val="0.99765867628683025"/>
          <c:h val="0.1850747363931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826501687289083"/>
          <c:y val="3.6491332836010582E-2"/>
          <c:w val="0.38128916247541045"/>
          <c:h val="0.78621175694287859"/>
        </c:manualLayout>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C-560B-44BD-BFA3-B3120110CD01}"/>
              </c:ext>
            </c:extLst>
          </c:dPt>
          <c:dPt>
            <c:idx val="1"/>
            <c:bubble3D val="0"/>
            <c:spPr>
              <a:solidFill>
                <a:srgbClr val="4F9FD9"/>
              </a:solidFill>
              <a:ln w="19050">
                <a:noFill/>
              </a:ln>
              <a:effectLst/>
            </c:spPr>
            <c:extLst>
              <c:ext xmlns:c16="http://schemas.microsoft.com/office/drawing/2014/chart" uri="{C3380CC4-5D6E-409C-BE32-E72D297353CC}">
                <c16:uniqueId val="{0000000E-560B-44BD-BFA3-B3120110CD01}"/>
              </c:ext>
            </c:extLst>
          </c:dPt>
          <c:dPt>
            <c:idx val="2"/>
            <c:bubble3D val="0"/>
            <c:spPr>
              <a:solidFill>
                <a:srgbClr val="0070C0"/>
              </a:solidFill>
              <a:ln w="19050">
                <a:noFill/>
              </a:ln>
              <a:effectLst/>
            </c:spPr>
            <c:extLst>
              <c:ext xmlns:c16="http://schemas.microsoft.com/office/drawing/2014/chart" uri="{C3380CC4-5D6E-409C-BE32-E72D297353CC}">
                <c16:uniqueId val="{00000010-560B-44BD-BFA3-B3120110CD01}"/>
              </c:ext>
            </c:extLst>
          </c:dPt>
          <c:dPt>
            <c:idx val="3"/>
            <c:bubble3D val="0"/>
            <c:spPr>
              <a:solidFill>
                <a:schemeClr val="accent4"/>
              </a:solidFill>
              <a:ln w="19050">
                <a:noFill/>
              </a:ln>
              <a:effectLst/>
            </c:spPr>
            <c:extLst>
              <c:ext xmlns:c16="http://schemas.microsoft.com/office/drawing/2014/chart" uri="{C3380CC4-5D6E-409C-BE32-E72D297353CC}">
                <c16:uniqueId val="{00000012-560B-44BD-BFA3-B3120110CD01}"/>
              </c:ext>
            </c:extLst>
          </c:dPt>
          <c:dPt>
            <c:idx val="4"/>
            <c:bubble3D val="0"/>
            <c:spPr>
              <a:solidFill>
                <a:schemeClr val="tx2">
                  <a:lumMod val="25000"/>
                  <a:lumOff val="75000"/>
                </a:schemeClr>
              </a:solidFill>
              <a:ln w="19050">
                <a:noFill/>
              </a:ln>
              <a:effectLst/>
            </c:spPr>
            <c:extLst>
              <c:ext xmlns:c16="http://schemas.microsoft.com/office/drawing/2014/chart" uri="{C3380CC4-5D6E-409C-BE32-E72D297353CC}">
                <c16:uniqueId val="{00000014-560B-44BD-BFA3-B3120110CD01}"/>
              </c:ext>
            </c:extLst>
          </c:dPt>
          <c:dLbls>
            <c:spPr>
              <a:noFill/>
              <a:ln>
                <a:noFill/>
              </a:ln>
              <a:effectLst/>
            </c:spPr>
            <c:txPr>
              <a:bodyPr wrap="square" lIns="38100" tIns="19050" rIns="38100" bIns="19050" anchor="ctr">
                <a:spAutoFit/>
              </a:bodyPr>
              <a:lstStyle/>
              <a:p>
                <a:pPr>
                  <a:defRPr sz="1050" b="1"/>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pivot!$M$4:$M$8</c:f>
              <c:strCache>
                <c:ptCount val="5"/>
                <c:pt idx="0">
                  <c:v>Stephanie Manning</c:v>
                </c:pt>
                <c:pt idx="1">
                  <c:v>Logan Galloway</c:v>
                </c:pt>
                <c:pt idx="2">
                  <c:v>Cory Evans</c:v>
                </c:pt>
                <c:pt idx="3">
                  <c:v>Mr. Ralph Garcia Jr.</c:v>
                </c:pt>
                <c:pt idx="4">
                  <c:v>Nicholas Johnson</c:v>
                </c:pt>
              </c:strCache>
            </c:strRef>
          </c:cat>
          <c:val>
            <c:numRef>
              <c:f>pivot!$N$4:$N$8</c:f>
              <c:numCache>
                <c:formatCode>_(* #,##0_);_(* \(#,##0\);_(* "-"??_);_(@_)</c:formatCode>
                <c:ptCount val="5"/>
                <c:pt idx="0">
                  <c:v>8840</c:v>
                </c:pt>
                <c:pt idx="1">
                  <c:v>8840</c:v>
                </c:pt>
                <c:pt idx="2">
                  <c:v>7790</c:v>
                </c:pt>
                <c:pt idx="3">
                  <c:v>7275</c:v>
                </c:pt>
                <c:pt idx="4">
                  <c:v>7198</c:v>
                </c:pt>
              </c:numCache>
            </c:numRef>
          </c:val>
          <c:extLst>
            <c:ext xmlns:c16="http://schemas.microsoft.com/office/drawing/2014/chart" uri="{C3380CC4-5D6E-409C-BE32-E72D297353CC}">
              <c16:uniqueId val="{00000015-560B-44BD-BFA3-B3120110CD01}"/>
            </c:ext>
          </c:extLst>
        </c:ser>
        <c:dLbls>
          <c:showLegendKey val="0"/>
          <c:showVal val="1"/>
          <c:showCatName val="0"/>
          <c:showSerName val="0"/>
          <c:showPercent val="0"/>
          <c:showBubbleSize val="0"/>
          <c:showLeaderLines val="1"/>
        </c:dLbls>
        <c:firstSliceAng val="0"/>
      </c:pieChart>
    </c:plotArea>
    <c:legend>
      <c:legendPos val="b"/>
      <c:layout>
        <c:manualLayout>
          <c:xMode val="edge"/>
          <c:yMode val="edge"/>
          <c:x val="0"/>
          <c:y val="0.82008507887016713"/>
          <c:w val="0.9780551313861825"/>
          <c:h val="0.17991492112983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6F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53639164669634"/>
          <c:y val="9.1185410334346503E-2"/>
          <c:w val="0.77934186922286885"/>
          <c:h val="0.76827800780221622"/>
        </c:manualLayout>
      </c:layout>
      <c:areaChart>
        <c:grouping val="standard"/>
        <c:varyColors val="0"/>
        <c:ser>
          <c:idx val="0"/>
          <c:order val="0"/>
          <c:tx>
            <c:strRef>
              <c:f>pivot!$H$3</c:f>
              <c:strCache>
                <c:ptCount val="1"/>
                <c:pt idx="0">
                  <c:v>Total</c:v>
                </c:pt>
              </c:strCache>
            </c:strRef>
          </c:tx>
          <c:spPr>
            <a:solidFill>
              <a:srgbClr val="2E6F95"/>
            </a:solidFill>
            <a:ln>
              <a:noFill/>
            </a:ln>
            <a:effectLst/>
          </c:spPr>
          <c:cat>
            <c:strRef>
              <c:f>pivot!$G$4:$G$15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pivot!$H$4:$H$15</c:f>
              <c:numCache>
                <c:formatCode>_(* #,##0_);_(* \(#,##0\);_(* "-"??_);_(@_)</c:formatCode>
                <c:ptCount val="12"/>
                <c:pt idx="0">
                  <c:v>392678</c:v>
                </c:pt>
                <c:pt idx="1">
                  <c:v>450672</c:v>
                </c:pt>
                <c:pt idx="2">
                  <c:v>497247</c:v>
                </c:pt>
                <c:pt idx="3">
                  <c:v>567882</c:v>
                </c:pt>
                <c:pt idx="4">
                  <c:v>581943</c:v>
                </c:pt>
                <c:pt idx="5">
                  <c:v>529028</c:v>
                </c:pt>
                <c:pt idx="6">
                  <c:v>497410</c:v>
                </c:pt>
                <c:pt idx="7">
                  <c:v>517830</c:v>
                </c:pt>
                <c:pt idx="8">
                  <c:v>408236</c:v>
                </c:pt>
                <c:pt idx="9">
                  <c:v>632521</c:v>
                </c:pt>
                <c:pt idx="10">
                  <c:v>451814</c:v>
                </c:pt>
                <c:pt idx="11">
                  <c:v>655378</c:v>
                </c:pt>
              </c:numCache>
            </c:numRef>
          </c:val>
          <c:extLst>
            <c:ext xmlns:c16="http://schemas.microsoft.com/office/drawing/2014/chart" uri="{C3380CC4-5D6E-409C-BE32-E72D297353CC}">
              <c16:uniqueId val="{00000000-C8EB-4892-846A-53FAA6A51A28}"/>
            </c:ext>
          </c:extLst>
        </c:ser>
        <c:dLbls>
          <c:showLegendKey val="0"/>
          <c:showVal val="0"/>
          <c:showCatName val="0"/>
          <c:showSerName val="0"/>
          <c:showPercent val="0"/>
          <c:showBubbleSize val="0"/>
        </c:dLbls>
        <c:axId val="1566053392"/>
        <c:axId val="1566052912"/>
      </c:areaChart>
      <c:catAx>
        <c:axId val="1566053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6052912"/>
        <c:crosses val="autoZero"/>
        <c:auto val="1"/>
        <c:lblAlgn val="ctr"/>
        <c:lblOffset val="100"/>
        <c:noMultiLvlLbl val="0"/>
      </c:catAx>
      <c:valAx>
        <c:axId val="15660529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60533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6F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Count'!$E$3</c:f>
              <c:strCache>
                <c:ptCount val="1"/>
                <c:pt idx="0">
                  <c:v>Total</c:v>
                </c:pt>
              </c:strCache>
            </c:strRef>
          </c:tx>
          <c:spPr>
            <a:solidFill>
              <a:srgbClr val="2E6F95"/>
            </a:solidFill>
            <a:ln>
              <a:noFill/>
            </a:ln>
            <a:effectLst/>
          </c:spPr>
          <c:invertIfNegative val="0"/>
          <c:cat>
            <c:strRef>
              <c:f>'Customer Count'!$D$4:$D$7</c:f>
              <c:strCache>
                <c:ptCount val="4"/>
                <c:pt idx="0">
                  <c:v>2020</c:v>
                </c:pt>
                <c:pt idx="1">
                  <c:v>2021</c:v>
                </c:pt>
                <c:pt idx="2">
                  <c:v>2022</c:v>
                </c:pt>
                <c:pt idx="3">
                  <c:v>2023</c:v>
                </c:pt>
              </c:strCache>
            </c:strRef>
          </c:cat>
          <c:val>
            <c:numRef>
              <c:f>'Customer Count'!$E$4:$E$7</c:f>
              <c:numCache>
                <c:formatCode>General</c:formatCode>
                <c:ptCount val="4"/>
                <c:pt idx="0">
                  <c:v>171</c:v>
                </c:pt>
                <c:pt idx="1">
                  <c:v>217</c:v>
                </c:pt>
                <c:pt idx="2">
                  <c:v>288</c:v>
                </c:pt>
                <c:pt idx="3">
                  <c:v>130</c:v>
                </c:pt>
              </c:numCache>
            </c:numRef>
          </c:val>
          <c:extLst>
            <c:ext xmlns:c16="http://schemas.microsoft.com/office/drawing/2014/chart" uri="{C3380CC4-5D6E-409C-BE32-E72D297353CC}">
              <c16:uniqueId val="{00000000-0DE8-4132-B3D0-886ADEF11FCD}"/>
            </c:ext>
          </c:extLst>
        </c:ser>
        <c:dLbls>
          <c:showLegendKey val="0"/>
          <c:showVal val="0"/>
          <c:showCatName val="0"/>
          <c:showSerName val="0"/>
          <c:showPercent val="0"/>
          <c:showBubbleSize val="0"/>
        </c:dLbls>
        <c:gapWidth val="182"/>
        <c:axId val="1503105760"/>
        <c:axId val="1503105280"/>
      </c:barChart>
      <c:catAx>
        <c:axId val="150310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3105280"/>
        <c:crosses val="autoZero"/>
        <c:auto val="1"/>
        <c:lblAlgn val="ctr"/>
        <c:lblOffset val="100"/>
        <c:noMultiLvlLbl val="0"/>
      </c:catAx>
      <c:valAx>
        <c:axId val="150310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310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D5119B05-66D9-495B-A483-6FAA5DF95336}">
          <cx:spPr>
            <a:solidFill>
              <a:srgbClr val="2E6F95"/>
            </a:solidFill>
          </cx:spPr>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noFill/>
            </a:ln>
          </cx:spPr>
        </cx:plotSurface>
        <cx:series layoutId="regionMap" uniqueId="{2FA2B957-194D-412A-A66D-7C0BC3B91DB2}">
          <cx:spPr>
            <a:solidFill>
              <a:schemeClr val="tx2">
                <a:lumMod val="25000"/>
                <a:lumOff val="75000"/>
              </a:schemeClr>
            </a:solidFill>
            <a:ln>
              <a:solidFill>
                <a:schemeClr val="accent5">
                  <a:lumMod val="50000"/>
                </a:schemeClr>
              </a:solidFill>
            </a:ln>
          </cx:spPr>
          <cx:dataPt idx="0">
            <cx:spPr>
              <a:solidFill>
                <a:srgbClr val="4F9FD9"/>
              </a:solidFill>
            </cx:spPr>
          </cx:dataPt>
          <cx:dataPt idx="1">
            <cx:spPr>
              <a:solidFill>
                <a:srgbClr val="4F9FD9"/>
              </a:solidFill>
            </cx:spPr>
          </cx:dataPt>
          <cx:dataPt idx="2">
            <cx:spPr>
              <a:solidFill>
                <a:srgbClr val="4F9FD9"/>
              </a:solidFill>
            </cx:spPr>
          </cx:dataPt>
          <cx:dataPt idx="3">
            <cx:spPr>
              <a:solidFill>
                <a:srgbClr val="4F9FD9"/>
              </a:solidFill>
            </cx:spPr>
          </cx:dataPt>
          <cx:dataPt idx="4">
            <cx:spPr>
              <a:solidFill>
                <a:srgbClr val="4F9FD9"/>
              </a:solidFill>
            </cx:spPr>
          </cx:dataPt>
          <cx:dataPt idx="5">
            <cx:spPr>
              <a:solidFill>
                <a:srgbClr val="0E2841">
                  <a:lumMod val="50000"/>
                  <a:lumOff val="50000"/>
                </a:srgbClr>
              </a:solidFill>
            </cx:spPr>
          </cx:dataPt>
          <cx:dataLabels>
            <cx:visibility seriesName="0" categoryName="0" value="0"/>
            <cx:separator>, </cx:separator>
          </cx:dataLabels>
          <cx:dataId val="0"/>
          <cx:layoutPr>
            <cx:geography cultureLanguage="en-US" cultureRegion="US" attribution="Powered by Bing">
              <cx:geoCache provider="{E9337A44-BEBE-4D9F-B70C-5C5E7DAFC167}">
                <cx:binary>1Hppj9640e1fMfz5ykNSJEUGmQCXkp6l983dbn8R2u22RFESKYpaf/2tHs9MbGcyyYs3uEAMA3Y3
JXEpVtWpc+qvz8tfnpuXJ/9maZtu+Mvz8vPbKgT3l59+Gp6rl/ZpeNfqZ28H+yW8e7btT/bLF/38
8tNn/zTrrvyJIEx/eq6efHhZ3v7tr/C18sWe2eenoG13Pb749eZlGJsw/MnYHw69efrc6i7TQ/D6
OeCf3168zG8erTdv37x0QYf1bnUvP7/97qm3b3768Vv/MO+bBpYWxs/wLiXvZCwJjWOCfvkTv33T
2K78dThK2DsOI4xjKn/5w3+b++Kphff/nRX9sp6nz5/9yzDAln7599s3v1s/DDy+ffNsxy68nlsJ
R/jz2/edDi+f39yGp/AyvH2jB5t+fSC1r5t4f/vLrn/6/uT/9tcffgHn8MNvvjHOj4f2r4b+wTbp
U6O/WN/pp99O6H9vnTh5RxjlXGL51Tr4e+tgLN9xnJAEU/zVPL/N/dU6/96a/tg+3777g4XS//tf
aaFj0+jOarhA/zHvQe8woVjE/FfvkN/bR8h3mAoeM8G+mgfGv8791T7/zor+2Dp/f/MH2xzP/itt
s2us15//g65DxDsmGcM0/uo56AfXEeQdFUlMifj1AQh835rm31jQH1vm9xd/MMzuv9Mwdy/L03/Q
Y2L8jvJYUIHxH0Y0Kd/FkItkkpCvHiO+N8u/XM4fG+XX134wyd2H/0pfuay0/e1U/vc5hqJ3FIOj
yAT9fuLfIgBwFBiJwVWSrxb7wVH+1Wr+2CBf3/rBHpeH/wp7/Dk4+Ta3fPfk/xCZxfIdQzFLaPz3
c//WLuAp6DXzxPLX3EN/uxNfc8sPmOmfL+uPDfTD69/t5P8TIPvnYO13RJs9haf8Fyj8DV7789Ff
tgsA/YdX/wwTfD274+ef38YxpuwbQ75+5Lu08V18+uaNl6ch/Pw2kjEYVZIYAB1PEvApMNr88ssQ
RvwdjwlJkMBECkEg8nXWhwpm5e+o5DBEOKWIQnR8+2aw4+sQYe9EzBgVFCGRCIn47xXIlW3W0na/
n8avP7/pxvbK6i4MP7+F7EjevnFfH3xdLcMYACcRMgFYgzikR0As7vnpBuqc1+f/DwpRNPXWouPc
E/8wRTRRQ7M+i4U0FxuO+ryK8KCW1pqbZBbnw+CmD3yq+1tno9se+eFkXHmlepFs59SO0XEtYl7s
J1tXV2PXR09jklgluUX9gYoiqRRjpByuuoSt8TWl2pBWRV2Dk+OGvSAXkm7Ivh+anoy1isxm470z
wblz4TxK6hRN87YsysgptFQVhanpbttKlEzKzd737xvRBbaopGsbfFLJhRPVk0KGPKkQHXZVQ4k7
CbTUDVF1ZwRCaiHrKnPd1hs+SexK7ulaDr1Rm8WWpYEWi9gLkqzsOGrLUKHMqpP6rlijaJwUTszU
Z5Vl9qnuCvG55HWZZBsZlqHPfWXRxFMxJBrdLpuvXRZgCcPeLJacChRvQzpyWZ0WNd6mdA4JG3YT
qusp32y9ikzY+tCW1j0uUDS1qunicKijReQzEuxxnRhVIi6rgx70bdk0Dow11uc96eyhJvN9bXW8
r8NcK9zK8mDmstpU35bVg170XObrpI+JWM4t9afVPI4PQ9l26dgMV3G7VKXqJunUVPLnsBSz8uP8
uNVsSEkvU7PEx3Ix98sUOrVKXJ8IQT9BhefzuDDj7SbGQXVb1O5HONIo7qxiiZv3Q1IlO0G6PUCC
m2nT97whX2yjw+k22FlJU15sVZ+k7RgebTuctJPtDiZolyU6zpatJWpYHT91DuGd77erqmytMsTc
OxTpbPSRzU07vXDd8fOWb8XVLC1XA1oiJcexUENcZGYdzZ5OFKtlmy5JHfNsmqYlLXHRpHSeqrNi
bPy5CDPJE0bRMbFa77plY2qMyirdhl580iOZ9u3E9CdR9cvJ4tc1dz2Lbkq3UtXV5UsRF/aSReGW
Bb3cdu3a7JFrteq004fOcK5GjbiK7coi1bFxFwSjR4gL1c57Indly2jKqkjuJz6/WGbaY6iCzQqI
HcqUo+7SYtGfbExtOrGuzcvSl0qidsisjVs1dGFN2RZxxdDU5DgatBJkucOsQ8o35j5qiuO2dbNq
B9crFqIHthZIxWapT6qeyTRyVH+JR+Y/jluS1jio2szUqGHqOVXjisxZO5nxlPMAHj960Wcx3aIv
NvAuVpMQmCmbCFRmvp62NV3bJToQg8abFU9zcttQ4644Im2n+sLrCycI38VWi7xIimRIcTPWdwNv
QxoQ3sq9ri056cbSt+kaB5gNLpbZVDGH57Hp4xQV03RVzwan0wTXopRTg5VYlvVz7yCo5mVC15Mx
6O5AwrzOch/gai1ptHK0pD2s1ig7zOEL7vtZq3Iu3I4v41h9WetBgq/Nst8URb2bL4hgw+PA4LYQ
VdFq2+GpRadVJ9v9rIVLqz4ie0Qs7MzMx2St+T6pLESJZSapRWWUs3gaVey2UiHXx3kht2bfl4VW
RGwfFuBo7hPtloumjp7ApR7IppHqGmPztg8nIerpRY2IyXxD6tMu0p+LQfhME6fvW183VnHH9Dnx
64RVO25xtuEWX/Vt8b5viBFKAld05mhjT7AMO8CE09k0andDYxndGjokT6RlOiuN7NOtlb5WY1mB
G88LIXlhu2W3Nis658Vq81CEIStDCBfNUNkcvtPtbITWvX/1WkMLft1uU7wrerbkUd9U+6SZrpqK
6lyvw2HGqCKqCNtrLtmEWgveXc/x+tiNlh3o1MpnT4brZKHVrAYTT4dYhA98rVulEYpyEk9H2mCR
mRHHsQrYhS+FpTSvoxCdriOrdmIacdahTebOLlqtpSh3BcUQD8R6oWdhLrcITeerlrXq1jHJdLcQ
tQw1uFZCxjxQUu4rSReFZiJSWdejctjv16j0EIPDuRwham3xuipJJNzEsHTHYChTfPZMlXi+GcVG
lBHW5Ja2RsHe5KFfln209vLo0VSkFi9IJVy2z6uzU46iOKQjjqLMDabP6tY2hZKCDHdS1zKLhVmz
njYyG0J/lJEslY/cl6VP3rc6sfkm53GHBqfTeZVbGlFq86pbqt04tstJZPrPk9nOm1CMp3hpGrXN
rE8bknSXBJDJGVnAsB1a692sAzpujPFDxBKpetcZNXWdTkVpGhUJ2PNo6kaR1kC86/nHbUOr6kSC
88qEj8Qac8pcUSi8do0q4nlVbq3xGdyBYT9oWqWzMV9G3sjd4raPpYOvmk1CLKtXVpwXFhdETTWE
fiPLT63Dc4qa4K8KQ4q0mvBwMVMxQXInTnFUPlrMvjjZv9Cgm13DADBMC31o/VilrRn6+0bApzZP
vXLjEr74kZK0HmqTUQiiKhnm6sqypr6WxLojEmQ7m0yAY0jMx7EtUAbB1ELU1tODWC0kjBDfas27
dCqXUdWLgLjOdfOJdIGkLVntcaQt39VTsqadjLrdUG/tGcFkzsO60XSK109DVaxqIjxRs4Q1zJUx
OZK9uB8Q2a5MPFg40E0yrqpkXDo4MAfLn4KpH8HtTTgPcyfu+oTBuzFab/1YHHmzzGnUyPJ6HJr5
ioWifkxqfss4n1PblBeU2OEQj6KM06WqXc6GAg660hV9L5mZ04Vxr9YgcroVnKT9kJRg6Wles61v
V6X5JHFaWvKZdUvHshXsrIjD9nLCWzigbUkOycLEx9kM6HFEy3PtinC5oTiq82mqpkPtQnzJWj7l
eKuXDiKrC5Ni1ZpKMslKFYzBjUDtTS8ku5lXNKAUomYEEIM4kjI6NF8GDwzEq6OWYFOorqxaE8/3
zmEGLtPxYA9+kNuYjgTS/FrGt06vY5oEdCYEqj8MXKJPXdmfNHNVbFltqzLty/hzwwd223FNnnFZ
R226US6NivS4HN1sfa+0qeoxW9i6PKNGNJmz43C7zb4/FhA8z6cqavay41cb704Lm4QkmyAdLAcc
bTVcZz4ln4syadOKDMmlDEw/MOfpOR41y3w7NznTsUuddVuT+T5pcxtie+Nj6nW6wlFcLIaISqHC
MpUEN5bZ5kVos2kZ1stO6GZfYl/vimQOO5xgkjtY1z54Hu1rVhftvk8a/QDRzDxAihs/NPOCbk0d
igOqE31EbAbEW/T8pO+mqFY6GgqjVj439yXR9Xo6RWur5Fb5ExkRcIgKzSZ3upEnpPdTWrULNmqh
ncv4VKJ8Q4O/DtsSHpDYxs/MzdNBDFae2roOl7Ss/HsbM2/A/2wdsrjnmWlZ5RSgq+1e+tDaGsqH
Yb4rMUTYFOqkUWabdDFXtHHrlOsa/OFUCtq2uSga/n4uxMY/lCbSWzaJBTKrGKkER/RLUKvnS5lT
Q/kFj031OCUzjwCsjLfN1q04G6ouOm+6RT8WLet2vhAtzdptaY7j2KGsFnUpFKUmEmpo5/YBFUtx
PcGjh6WF8OpbeTu3gI2Hrh8/dW1ns6hK6h0PW3nqO4CkTTf1QYV2au9wNVcqRgnZz6I1Z7Ud+t3a
hiqzZd+kLtqaQTHv2G7G3XzdUOZ9xraiVfWkTT7VeDxru21UlNTdYUyW8oq4uFhvRFJ7e7mU1cIy
WS6o5yYVCScAFlpXyXUQahwJccNngJtajKUyST/TWxtKbgYIY6sViR8OtaxaqeZ6nbbTZqFRyoca
583mOp/FQwVxdBHNAtCJx4dQcfZAhG7HbJtLlxy8AV/8JLkoMhTVRXmmp0n3Cq6wr3MiyjnjZJxc
aqJkhugTvD2bQuQO4yDxzdIHqAVwH+03xqtsCmt00s/eHT3cyWwMsT5zNdNpQcbkS+stfUadoZvy
2od6v7TubjCy0I8Y0zFtqZzPA/ijEsO2sYwPQrxY4coDH1uA4DhUUdprn9xv9YxyzSE653JozG4g
w/aEAFifzqtjqoH62CYO7S189mQjfbh2TrsP1ULbm3nG7GRzek5JS13GKhw7has2zkszBGVRAeig
N8N+MRNOva/tBaV9m8WwxvcDoMg8LItMtw7XeQm5DsB5v+YL8SEfm+QYuW7KLBTuN6HUcucNIk+M
LvTQGu9UYSAyNdYJlWhb7XUZT5m3TJzFuuVg3qGaPzUymvYNoZfxUsnPqPOXE6xE+YBI6ghZDz1u
eoBSY3lmoKRdFJZ0zuHe9DsnF5b3q4H6Bi4lUrjWVT4XbZXLBtJ4sUTm4wCYXlmZtIdIF3EWzZBJ
upl3QgmQTdMIRWtK6zje2YK2qpNJdBnibb1xc3UYF9OcL2bsUlZ2sQcEHjV5s1bVi3OcnheF1hBo
+/JQ2Ah8d4DAP7o6XZuqSTfftLk3YYKkM6/XVUDyYlpKk9ed5gfDNctJgyBgDtaeaISvhGgnNQzD
YtPRlU9D0tVZZ9dgANj14sJEvU+XFpkcNwVVdSPjx1LiRMXz0LVpq6v2MXLDYx8nRlWT2FO2YKSs
mz6jBRKr0Gg7rq1v4PzGUauJhVEtXdmkq4mBfUhKnvGteWIyrvIJrKVIt3xwAoqIUmTr1n/u6ubD
UE+v921ENh9DZ6xa4jjnAhHVaFmc1HpgT2ZYCtWWiKeAmTFKo26pm9wTyHklXfozy+sObsuQ7DEy
SUo81WdNWZor4B8Qyka6jCKfHJouhgB4u0YTyfpX+mcRgzvKvm/ybZ62Q1kL9DJ3UKLVoZ4OLQ1j
Nkc9ua5DAoyA88+hWsJJ0upaIWGSE+C1sqpa3VE43kMCjswJSdrpejNVuSt1/wnqNYBia6fXjG51
e+xGN5m0nIb1YQrFoIDvOY/jtrgHKHWno75PEx+S04rHc9ovGwBHWx2LeesHVY2Rz7pp/Chxfz7j
NVZVTe67CEJePVG6c9yLdGaxeKgW3Kq4910mkZhSMhbsbrOGKbYZctqt1ZmOusfgkuGwDtWt5/hL
DJF0N6+AjrrSdbeVJY9xhZtjPHX088Aan6HSx5mL2vslEfEX59po25Wd4EEB6wHge3FjpTbe3og1
oFLZssZZcKL4OKHRTGqZJg8ExTrf9BhvVjWiKIB2CvO8YwNdNYD/FkONs7C9GWN5A7wfC8rFzHLY
XpGMSvgqROAJbc6R8SekAyi56XKBUqfIwFQuOTc1c5cTpwCssYmsIpvRWHGyNV0+iQYP+Ygqd0Ew
F0f4DwyZTnwhJbmhtYXgIXR1Ih0yJyuD5Irj+bkwbuz3JjJlvvCRqiSp24w1y8mmEwOuju89pKS0
wcGpkbxyga4r01WOiUown159AlCexmxPGCDhciAQEvjip/lQ2/GQTP3HUmwnC1z4tNEOHU0ZnRdy
AKzTsD6v++TE4Sns5tgkeWJ4c+IY0H+9REPaAdRPAZmStKD9mS+na1kPn1Gr4cYXK8vl0l331HUZ
EDPJsaOGqCQK1R5qFyAQtza6nAl90JgOp6GIXDZ7rtOyibt9hVyZa9viw1JDcebZOBy7UCJgLoJV
yLDPbi7k9RghoOGKWaeVXT+aEgNzFtZ4lxivVR3iTwWb8O0smMn4ss4+rUc7v7AhmW4h9hHFOfNp
gvrxxPdARiFcp7iI6HnjRQQ8i9Yk98iYg+TdOQ3NkBZbTMeM6FmOeVLiNlE1qsxJD/kRy83ujF7d
04CtfWSCxm1mom17NqQqlhSvJnqyvPWXCWqiQw0Jz6s4SZaDMLU/SwyUSIkUdZUtujzxES3zuF3X
T4CzwLVK1z7pGotLO8fF+Raq8TnS/Evp8eqUrKLhpAca+npbaJEyncxd6jSa34uFjVeEVHS78Iuw
Ts1Ja/fAgraVkiF22bZJvsNW4yTjRi+ZI7rzqd5Wt9OOVFAvFNEF1p5NKYNkcNDFdLeW7D0gBHbb
F6Xdlf0aDuAHa879gKG4Evez4BDhq47clqhx6VDFlwIPxVO7dFFat4VIoQmD6KyBIj06nQmAmrOm
A2q1D1N1ChgiLLuSe5v6WvPxhHYQfxQPyNX7spiXV5KoqdQMXBhgmpZj1UFxA/Buto6lCbf+3jva
n/a9EJOqbCKRGhFwfKuri3SFuPDI7SLji1kzdDfBB3gm+nF7GE1oFLhxAaQRENSVKrt1OI9HN54l
cHv6FLk57Oe+02ebc85nkLCkCn4sATGtc1CYhDZAmn9FQhBlHlvDk4/UVwJce6zDwYnKqj5aegCt
IOp2qoyaKaUiXm7Z6AKQT8g4rqAME2CJSN43ZCg/s6qsy6wri3LJgFNbb1YzLSaNwdHyrV9WDYAe
Cu+FQIoGCNq6bIrdlxngdQ4SwfUaAazfBo5OnOEhY26c96Uu+uulnMhDXQMCzxiFgL15hq+G3mKt
mn4SNwPzkE8hltmrZoumh4jq8SSueuBl2k2Kc79G4cG4CF2gdl73xAksoXgd4uuBieRGRgWULx4X
8jSKKvJpbbQ5CYOYbgmJgQxdyAheajsIq6ploiOAGasq02yowSlnChlrnIEVVLGXZX0BDH+AfCJ9
3JzWmKxsF/jMwNJtnRfBl3W2mOFqKwdaK746ksdAQ92hLSlPagqhsmuq9UvjWvxY4AGA2saDyIDp
8BeVlLpUZa37h5Ezu5sjyLqlpZDM4EplUOzoHJVDvXfRLJACavTUF0tynGYUcjdwc+Zw1w2A7DE6
s5ud34e6CwtEWd1mVTTTlHtaQDgJ0bUzvbtg6ywObYXLfJg2t58HRNPYGbglkZ/DuWja+AOwtxEk
sdndIcB3Z972824MgP6BzkyApYmqm7Wqp1TIcgLS3tZp6Yb2fAzyOZowziE4FQdesZBF64bP5QSu
EdekynUfH22FxVW38OU4r2w64VGyzYoXTUYDVB0jIMYU+GZ/MlRyPI98Ys4El586seB8Kla0q8X6
VK5tlRJqoDIQNdCKuGiBK/PrfaTjYpd4XOWObHEewUXfV5Mb0smv5GgGC5yNNd1KgGjbsipecMYx
SlRgFrAs2vyjbuiaQqmwHVa/8A0S2TBeicQCD4xl02QdI1Nzs7BKZ2sFyaZmxhrgsyZzFiV9NjOQ
b4BjxYA0bLXDRmxK2u2CmQ1+j4rrIV7Wyzl0wANP5l4O5ENcQrBmUZdrGm8ZMCVPsvNcyRIEj3mu
ymyIGpR1SWR3BBt6mGm7p2V9swkHpQJlLJUj2lRZbpdxpWPV1P2DG/r6ipfjoYjIAYBV2E8bnT5G
C8ggJI4+xAijHdoAIS99pPdugkS9iPGplXV/PY/99WhJsypkBaR2/FoIVk10KWK5pgUi1bHvEDmj
U/SZRsl4bknnlYf4rzTIYED0SPohzGxUZbucTc4tR9/0D982/n0neD5bt3pdVr92Xf7+49/ubAt/
f+kE/PsvX5s2//7T+W/dnn/61P7Fvirtw48PvcrWv3/r7z2Hr1Lx7w2IP4jPX/tD/4ky/aeD/55s
TWL0qhn/3hn6D7L1axvn4al1Q6X9y299BK+C8K9v/ipfJwjaDbHAnCJOQAf/VbpOyDvGIAEKJET8
VYT+Tbqm7F2MOIb2twSkc8piaMP6VbqG1lMuGTwexwlmgqD4fyJdg3D+rW4NvVwJfIiDb4IQLhAH
9fxb3ZpGQN28is4H07EqjTdeKMLL+28O5Q/0cdjiP04iIXQwBvvk8lU8/0YcD3aKnIQgcBgNgXyQ
DBAOkilJnaEh//OpXnX2b3T4X/YDfTniVUtMEPtFp/9mKtsWS1+X8XZYJh2UhlR0ClkI+HLrQPSF
/t1Di320B/2RQlgCWv7Pp/+H44QmBOgqkAnGGIzGoO33252SZhNs5qQ/1N18R9rkQegh+/MpXj/x
3Q5fp2CSAJoBuxGOvp/C+2gdUYH7A8Pz3cLieyB3oOwmUE6jrX/588mg+vrH6SgBCZxymggqX/sB
v91RXPaUL3IYDnSO+5PStNilVkbtiWFFe9JM9D0t5r5VtOwB17DYgpLUN3LzCliU1meDBbIwIcA0
QhUpzHGcE9mmk51ACwOppLTAG8i6U6THDgiaSipfS3IkdRt/IjUgmGkIXzoqIv0LrXK/DtKByijH
V9DdxRdVD9xlXJk4G6HauF/rwp9pXs6likniq4z2sr3jrCkf9PpaNbU+vgY4yy4ZcAA3nAEfO1Hf
giIXyotx6jAEUllkVowg4yLW76Zx246Qs8/HOpp2cdt+oUlzYzV95pu4Bo6tTUEzaU8cWj6WEwXh
va15HjH4ZhvXW2bcBnXda+XgO5wB6JlffCX7Y1JXl27lUaYlKP2UtGM+25lfLEtsUhnx4oSU8X0S
YaAmKh1eNQOngPB7iXkk75ZugKSI6/pik315Fzht0lGYFMmpzBJbFmqZi+mw6abIa7RU593A0rEq
gOQW63zKgOIw+ewjkLXLeS3lMYh6XHYaQDRoH5PIKsFwCuRjcuagiwKddg4XGIR77/l7CgnyoTKT
v+wshu+ALEzuLDbTaeP1eID2rEFpDzwzWJVBS0YLRZdtELBGXW927SzhirSQNKFhZk3ruQO0sY5k
N+kG3VNrgLKZepCSK03GR9D1e1ymaMVnEWC8Ow0cdt5pi1XBgUauej4YNWssj1vki7Oi+H/sXVl3
1LqW/kW+yxosWa+uOfMAgeRFiwDHsi0Pkmf/+v5McfuSnG5Y57mbB2pRqZRtDVt7f8PG+Ptmqfxd
6dsrrWb27Ja4+8B7VhxdYMg1mZg4lhXWgltEhlyrmg5VyZ5N4aM5KbI+3eeSTUfeZuo+FGl+CFjj
r5c0qO96O29p28/X6VQ3bqMaG+79mLvnWkRpChqnAR4wRdnBK95fZnosEr0YcZfJdq81q0sws5Ik
iqQveV+YE37t0zSkF7zUbjs1430zFx9z0iJBHPLgwMtquOyQeCaZGdpk6NPxPtAjOVCWhUcSNvYI
bJufIqQglzPgUJuEaVTfljPODaxoKuIk0Gl4z7Sbv7RBjdIfm+ZqAA1zCWCaHtikzFbYIKoAi1TF
vtBObl3ocLW0YDX2SxCwTU0nvdeNmS+mINbPIMkgl4hThSpNj5dTnucbWffjRiBbPbQDhD1lUQYJ
5YBnuO6nTRkVKmHCjkB4DblCTRbvdS7UU10joS0LuDmENODm2SdFlnkH/jt8yKY5PNKBvUjMaxDb
9LGoQ54QiZFm2QLtUd1vBsC0ycKDbqvHodhCeGA2Ysmvg9Y197lDqlu55VuWxgDoTVjMSazT4aSD
tIeII7yfZkhFpjqFFAgyqVpBVrMU+NpUC/fRk0BC+tGOYI2dr/c9rdmXdrBQNphG7Npp75qUfYii
Rm0qUvjqVMmhveuDhn1B3I5PWTmyQ0hQrk2DoTtjesxQxJvlRtuiownTzfyxJrG9QkBaTmRSY9LQ
6NnXY5tA7BYkY6zrjW003bahuUpjICY4AJJyCIcOWWipE1uS6qYt45Md6MeiNGFCNak2aewvONAN
FP6B3mpwK9epLr7rSeUbYHw72VP+pQ9585r3bLhteAtaIrLYewgJ4jab8+lKCeByoqQeGoGs2Nbj
Mn6upxFwYOZx5VDl87yxAhsIyrMp/0vlgf1ERhd+0HLh92zJxZZZEJvElijvQAQziBVMtxMV1hdB
WfKtLOfgtnDgstu22hRe5k+RAfEzqwx0sPO23xAg8pucI3rY2NkD1DP8yrJsdKvgY7gt2zg4EmQ2
G+fkV0lY2iWDwrw7HeWnOI/lB9tO5FBFGTBtioJDDnMG5QynOwLB2BFStPqynvroGHVRdCsyUhxN
kKYvcbQr02w+ADTH8A9m+kgQubaUq3iPQbIfWJySTRSSBsx9V9BH7sROjGX5qQOs/zINwtwIL5ZP
bcW2dZFBBpM33t/00FTsizLHyptlfuSF9YkVWGQ4PP8C1Ab5hvPFXqS6PeF8HE9DzhAz3FRLcdmR
cqZ2S23bn/OKn2rQn1naWdX4a5r9a9b9fzPJJxFBQvq/J/nXWYvU22dv8vvzL/3M7+FXCVWkOMRi
0a8Jvor+hfSagpCTSIl/qlIhHEcxQERIAV8je18v/jO1h2A1hE41lPhAiAIv5v8ktUdu/TZ3Q/Ei
KcHOiNb6gkXhu+TeE5G73qXmYonCCWSWTQXCBs81hWxE8OE5TEt5E0RR/ZA1c3WzjCqAbKgMCdQV
fb4jq9gy7wpEZE+n4tbEXV4kIqjyREl/mFTGLrqqhyhqyBq3jeIpZkmtFQcSXYxyPxuc/oMd66vw
B92DOveqMb64kzWLD2WozGEVpx2wBXi3SUtEqrYvxGHJjD8VnInrvp01QlgLNpH1c4ekcozppZzq
8QWA4FxsJ6nTDTP9cMgD2h2HqtYPteNIw7JgnE59+FpA+/pFFja+XgocMImf4m6HD6S7cRATTrxJ
3I5QpqZrOLDhxmioeMms+bHwNPi6ChT+kk2mbllexadal/57OlHtQMs35C4zTX/oGPMPvOXjRV7I
kCVzkc/lisJ8z0OcudAILEljG+aSYE7FTRpW6WXbLMHXSqQeaGJT05tgcdVpztznQU3uIR+pOBQm
Hj6apuseFZBSlC/B4l+5lulnHxSF2vQRnwFtp8DplkotSR9XJwtaCnBHmPmTidRKUVHiv7h5GnuA
OOMnQQWCWV/ZVwhFu6NaMkgaeJZ9XcLeXmWhvw2WNLoofNdceL0sl40GcllFSGAkOCy6BXQ/g/lD
vuaTmqbFZ5UpIKgYpR7fVgbtnrZA7mYi9Qa5scCD4sxJWqL7K5JFAMSj0BwmnMwf6oqbT1ANmmIz
Vg2IvHmqIckTEQidQEdhkxjKCqSSWHsn53l/Dc3BqvOtQwb9BBn03iyoC2wKDccGVKLZ2oWRNInU
NP6V5cAdN83EAP9Utl0OTW6qu0yA1OBulleprxdQ/3OfUB+X100X5Fc0YGQG1Dxy6Bf4LOckqpv0
CccZZKIKFOCrm0beJEUTQYNocRLXTVgeFygPoUmRPEXdUJGbpYzUfapnkGpxsGtMCQ3HPGyFj24g
6hi+VpIVJ2i+3WYE6wEuHinlgVdmulyWTrT7XHXVR1Xn+nMAqjm40I66fKcqSb65MWz7VSDSQ/I7
1hqZc0GeO2U1znzoI+4JoOAXP4OARjJDvhSeQUEyzN380I7SxkfOCiQXPlb1MaNzi2qFAUvSnTFZ
0mvCntgQmksXGv7aCxdWCeFYtCALF3tsQMO95DIE/xUhOTtNqlAfgMbVYMtyCREFN3YAq5y29T42
VfklSo366DP+GoQjxCuNZxDliPl71PjZYU2QutrpWFef87RvycZ60J+YrMo/d5ID3ML5CMZT1922
DIa+BHQYqStDp27bdP6etDGUpC7Dfvao1DZz7Pkuts0CqZgUyTL07XbiTbblgDfBu3buoqiJvIjC
dtUXohzFOPD8UEOGkieezXITgJQ7DJZnD3QIokOdhcW0DVSn+Y5LHz7TwqjdAiYYCrOwgbiqAkN7
gGbIntKZuRvoM3sLEJJ1Dz7OOAZWlvmnIsvdnDjSsRHBTPcnIPxVvImDsXmBlK3xRx7E7dGFCnVb
FM7tLW998LWOZOkxSvlwNzuoNfJiQXlcB7nyieJ82AcQ9LwIMBLfoQMdn2dekWvWZhq6hxFizIRF
s9cbpZm7NbPSxTamTbkVZtQnQwOIZ1FCPEJK0WzjQo2XXkAPVVroI0UlL3gzd1toE+29Mq3dDqAS
TpAspzsoNdwB9MOHFELrQ+tHnWSMEwgAIBWR8BrM1UZ1g9i5cFq+LWyYyt1AhNvWrC93YW0A79ow
zm+nkNihv+TWiarbcD822aclSC3SP8mrIvwcz4UAl2g8I133ue/nNr+FNgiVhcrFLclHvV+I9Q+i
tOGDQGFwh7A4HWRcLKchHZ8iXlUPDqaRhx60FE3CLNdPIB+rzyzwcZ9UshovzJwWT3ElKILUiG0V
Z011F/ZTeQfrl9tDxw/rQlbwG5WW7aYeFrrLI48sk+C0g6phzm56qvo9UDSXQ8NTlje5CnG7ogj2
pLUGA2ODBlsdfvKE+FZcOYLbh36LXkdRpSGxWTr9yGMvTnlWQJXVB7GDDkKb72wJoEBDtVIeIFOu
r+Zw1jeqbppHyPflKcWDf20ytwDf99Fh6ly/n7RbXgqeQ4uxuABSA2Lnfc4Bw0+k63cOItVd0UWI
R31GlkvaLfIEoWK9KUdU5Lb3SeQou9W1hSZkJoV+GBeNSjWn1x6VUr2pFi6x1/r6Ll1kdljH84Ov
J3Kl8sUfES7kIXceaX0xDGxH6RjdAw8y33THs2M2BWOQeDc1uE7YzRfzIud7WvjxoGalTgPp2yev
6/JuINFwXPXOkGv2NSjUBsARpigdsmSB5GkL8sWMG1D4QNFXjixpc6bAk6xa2Qj1ce4sv+2LEjSq
VNOpxcGYobwabyoVfw3rTH0lLaMwU7SR+5z11ryEoy5ObR00h4oZqNGyAaEGy8/gkOaWgVgJQ7nP
hry40wopSCPluC06Ip4phPa3dIZxoDNr0ARxSbPDMo7RsoMBgdaP1aw+ZxTk3m4wsWkuXet6sgmr
mJrNAEjkOQt08Qi/YevuQLBmkJNK5QLQV6KINmVOHHTEostwjilShVB9dSZroG1SGPmaLhCqunS7
VtbznhkhITAScmOqSuhNDtxgIbTOLztv2/LYd4H5HEHykKFOxRbfzDASRDs/Lj6FHUJMQEauCZng
SDnUaZGF/QWWLPXFhRwqEbRfnF6ekfZOnwrACV/zYaJPquvlB+LS5sK57IOr5LwrmStP0rXNRvZD
CYhgehB2eUYA/Itn5kveiWfZj/0rg0gPDLSP0qSN+mepgvwoZGzvoJ7agYEJrjA5YA19U5yqonN/
sSUaKhC4DirZ0aE4TbI+s0cPxdE9i8Zi3vQ9Ny5pQCimH2LR+1250OXeLMh3kq4eI6ATP0qC/6+e
zk7Zr+e+EefGEm8KodWK97/XTu/skP9xBNL1936WT0L8CzQHEyA1GHo2gCT5N0UCecC/UJ1BPKRW
t56I/2Puk+RfLOKSwfu3AuL/XUORGJ05KPaJIlTCnUvlP6mhGFy6v6Dt6xUJDQF0ACwW2Duru/BX
+NuSHKjtWETfY6K7Xu1ow5vAQiAwZMtTBDK/+MIDD69Z5eZ25tuOgq4Edlnr8DWtPIcQAugZBFzK
RHO/BZ9buSNgBNte26hsgjmpiylqXiPI4icIW4WwOdukUnLyHWXO3D9YM0n7JY4h+//KsKVQP4jM
NSwpSQa2csMbQM23hoTQrW9TC90vNINY4eUVkTPA8V0KvdN8SUtW5X8F7VDjd36Z0p/Awa/2x7dl
JsTasGZyCOZhtsT00RAz++sYSVJmvREm/q7HusrdEYZCy4+WD62Xx6VNOwg4l6xBHxAb6ozq/e8v
vxbMb+YIZS7KWzRjQckMBvk9vbTkLIbqQWTfclIw8NQd1M8MuhdFA5fv/TSiyNpC05WiLg14AK3t
3cjZ3CL/4YsYUcMKUwFFrmvHPLlRUezws9/f5DoGb1gbMCewgq/LXKEi5+/W0TgvU+aXqDjKKvAI
6LIsJXsRvjAQz/3TS/EQPA7AXU5hlhXvpqPUtJz7VKRHrNegOw0gzdnqzXQlXn5/qbdcFJztaDqA
Rh2KrX1u1s32duYnkwUU2VnwTQR+COkWCUEq3d7GMHJA5OI7IV4KGD270++v+27FrdcFrw3qNAoB
g7L3122gppZ1wOARnbGTRDIACm8/G65xwEJcjdPgttLoVYTDGwJD1G6/v/xbknF9bIlODDymigNI
R2R4+9hpNGQBOBX2LZBWwisXjaGIvpyHu4Zez95kAamRixdu7h9h2QihmwCHbP84AYhzvywr3EkE
D2MMgGcFnujf6M5OZGE+Q1r8FZa3KvKH2jWlnneBLls1H1AQTZiVf/rwMEwLLqI4BAOJxfz24Y00
2uZz6L9xMSJ27WciFlLsIz/2Ld9lsebixUPSAKa3hZlbvNThPHi16nIhq/rDQiDv4jMGQIVwY6/h
h+GQiN/dTapgo1Wo3V+BScsyOE6dWbd5OdUG3ZD6MecQQ2ZlO8PQNCnKcFfIDU3/WDYih4koIL56
VKUpsQ1dVHv6ACyral9/P2br7v7P7udgg1m4WtAjInEyoe3N2zHrYZ/woVum18l3HosAQtUQgxUC
TIdYfvIw4jw2tHDrpunGdbvC2Jr2/3SwgDpKtBEJBZBFxhGw395G7Gjbza2oXysLDQwkeojJEAQN
MxLx6JLpCKdZm/a++FLmUYVzwjelJ9ExDkB9FomD8v7HeTYb/FaVLXa45FPRgAH9/XCR9xsMDZqY
QASTcIOHMFG9i5YTAx6kqoW9omoTQbnLu7ax/Z1b4F6GY8vNDjcHcmbAz+rZlfWMCnaZg8exafSp
Vd7m6aZcvXOXpXFVpyGOD4WGBTAKA4t6UaVLCXGOmhDoaZDPpLqAodHiWwuwds79IWCQlSX/dQFQ
QWIllMAhEAk02HkXMbAyKzdUQ/MiozrKo00Dxh1LUeseQrcNWWSAA0vP5+hp4aJzsJOs0Rusa4wf
TWPHYBroR/bnDc3fR3GKHEphI6GJAVsDybtlUUBPV2pTNy+Nxy5yO9YWMb+mxLD5kgGawnAoPdjl
qTTTPMukN350qFpCOoqH1C06OPqS58uTD/pW3MSZWNOeCWZTq6CxjtbpqVumsITmQUbDQ+MBZTwt
VhQgSENr16M4w+hjgupKGbzJIFJanuJymjB3LMpnvLRLmELK10Qta/dC9uvcFVOaIW1yPy6v4jSY
xySuJ/iWwdGREHcOAfqa8XRNVBZfplZUrtmrwZPhkbN66a68LzT4F1t6Wm6CVJfTEUr/MX2u4krz
JxBtBItMximyp8FVNRKv3y/29yEcow/ETJIY6YGAZuTd0oC5qII4orEvMBW30JNP4AcgkR3rvIYq
vncjAsXvr/g+GlGJWEQJzm2C5O1vV2x9CO9KycZntvTrYhxhqkT4g3kOnqW9GFwkXnTOYMZJRtp3
bXoNhbnEOv39baxJ+ptNwaQQVK6MCQ0pxK/vnhzIUO8CJcqnkldlB7Nx3UfB99oZh2hkiha6AK/R
L+BuaOMUEacxUZ3u0rijQ51A2DTaIelo6i6tjsXjxLwF5tWOUMM/dHEQZhsXLVN9iUUEr0oecp01
oKPBvWCzmxDrsB4MsouTzotu3fkDdFi3FOd9A+gMwOk0HH7/xO/jWsxwQCHdwFPjaSHsendaFUKb
aoSQ4+MA4xtSc7jPKFLzASjPmHAkWfxoyDhh2U6FYnhJux/5eiCadUmzHryAfgRjsS5p6rKl9EfI
t9kaIh0cKGTvLBSYQB6iucCu02O5VgpkjkvsTkkA/vxh9dJ3kS1GBhTj2ERUwwyutNXbM8WxqoQo
taIf484w7K0OEnbcQBewft26P/YxOiXOuDdtpnWLI1auIcU3YDm/QJGB4gSaifWtGl6u4otVuYQA
fbTrOLh5rMWNdhM+lRm2PuKclsDI4XHzbN/EfmDtZsZ5gcf9/WyhUnyzPvFoCjk7JdgqyNiR7719
tG4qiLR9PX9k6bBGqs47LK3FLln9tQvjggKg7mpYKiWt1vOxDGqCCZkAR6bzboHevEv3igX9+BFZ
qsdwjDJnWH1sWBBNqixQWGJ8tM0a3XqETUDyzYiw1iEjwQWzTof4FypHdFGALYljKLpOmqDbRGjn
gC1hFIUxf3MenzUUFl9+Pwjv9miMdAHZlaRQ1KGZ4t9SXTLCrDsLF0A+L2tEh3N6S008wV2Eetmk
1Z/CwrvjaL0kB1lJQxxLISST746jMIebTTST/ND2BCukm7sOCwpnP8aH5w2vo50eg3pqE2EZXGFH
O+gKKQuCHkZp9JPt7qRoYw3Hbgc3+wOqEDo8eHSJwglQBtj46CiAg+rntKVurDCUExreYK9gF63T
kRbTOhFBnhG8qDlXw0NYlzXuJCoKnE2Q2K/V9+9Hmyv2fs2J9RBAkIBFEVnQ+8oG6WAbpOE0f4DZ
S6BHQdcXsC7rMdT5DexF3M87Z7yAK1FRoOAm8d5l7iK0PZuipEG2E1x6MKlw+JVGso0b6yn9GkJZ
dRx1z+EEllVtv/HcLv6hXG0qX0Zg6OMtHwjg+m2cVypqNg75Y9vvgV/Gw4138LWgCUYZluSKhZ6o
bVV56Dryqeu9TuopdkuemGrwHJ1fYMbEZhgWP842mYIo5/leUdLzR2G7mUPLNRHAfsAxR0M08jed
dujGIpGZbeRix2VBsY6l2JymYoZFAwBiLvaDkinbAriblg+jqGn21HMLPxbjHSWbGfUpfP0i7Vq1
VRkdYX2D5u8oKeu2rg7H5VKrKgwPZCSG7tOgjU24a4q65B+hjIexGXxbOE0fpm5CB4qg7argASeG
hL3aC+E/LnJI0bGjqWti2ns1LbY46AyYzX6BgQANUhSqbEC54MnWjjakzOPqm6HoPTFtsVRm9131
sKCFm8KOYHSOna5cFG9RB0RWHHQZFOIGjkjwuodBNBS0wXcTo0cRRnkiDMTW9cLqAUsa3Z3axtwz
EXYi3FUVbxp56mHMNfaqiqbCpbt8SLtxuBojnaLXDqyhYx896IoydxI5hyVyj7UCp3bSDEuIY922
MYxO8Khw4bqt0X7J59OYthDgoQFLidNmA3qII8AOTdZHn+sA9on2hMUxBhreCaQt5KZvkHXBJDOz
GIQ6el9IvHTnNwN4TfEztMvjuNxSt9y9Lr1DZ4KLXPgmpUcyBYEEqwCFfy8PU5WTclVKwRg/JmEU
ZHiclKGrDvsyaXSYUeDUjYrS23lsxkbe5TrIRws7GAtocyr6WcXDrcgBcKPHhlIrJiF9F5niSUKy
FiyXnNsWI4V+IQjZ14jazkSXAdNeWrDULiP2Ls/HPNa7EV1mWpBeGWG4d4Ss9ZbmATYBCrOIAWO/
DRsYu+Jt1YXQ0X2Gya/C9Uq4XNXHPo3htPSogzGyNO4znCAbIsz6Jbh/pCyJc2rN6blp8fSbxpCK
wRVqxnXEmO0KvNQtDInoeiTXkM+HLo3lRo1djQWwVMg3Dp3yoBASiKzXRzVdtGD4XA50SOIsaTWu
Zg2MJo8VydbpIQ03NPpELPybNqm4yoGQBbB9YioC9PIy/DtMVQoVh88yZFrgscks3SaLTdQHmEHe
u/4JBAy602C8ArPUB9MvnEzXcS7XW84w083yKLCycAWGH7lXHUzrAhM+WGc+mgO8Z1W5Ds0AghAa
s6SL3Yh7GKBuxTP+fB7vGXOvgBEN3oumphaPRcQ1WsPwUQEAShppoLfZ/Vw9emkVvlLmwfpwGo1B
8OJ6rBq/+ZnjqmiJ1n+xNiquGcQSwePPoYawa/34vwf5/DkgBbS4liBPcQOkCszwWkDrmflDVsEm
PKFN2IIe2UlKWQrFDArwtIaa7jxR9TJ0WGqovHufniqiZh3BNGoGyOxU2aMpxeNAS4uPUDA7uCvA
HHpQSRHOa9IL+pHiTSvT0L2q8wjWDXYQ4tr5mQzNUKOhvUUlRnKc+3itzsPz1J6Xh9CFxfgI+Lrw
Ekm7PvwkZoPFgs4W62XQd0ngzbl2oTQfoargfXeBJ2V4rOa8kJZ+hphoh4dcvwVewRa/h06MDKur
7cx66+cBDZYRLWfQF4XVXO6CMKqK/LTQSE7NIV0RrXA3ZjBoDmAM0xX5aCEtf80GSd0rEWmF5QNj
Wbk+vB9WeU4LhH79QjqsL3xIY7zYKly3Q7lE6/1XvUjN+LG3KUT++yqN8b3GQQzCjkU7S9JdsvNa
yfJWdfLwc8gVOljgdqaMFfgSnAA1Lp43WYFzfiCgwcKPyNzyeIACNICRaBO2qcbFo9ygp/W2gzSz
O1kABoBsME2mP0F7vW7nHucr3kN7NJHH+wLJ4jRfMHRAmOojhKthWW6s4hamIN2mqPOJIj0+bzrX
4gVJY2RvStfj77kcAaJFIXohrOIsGtsb9NDRAAVGn+PqxKT18CQqdAwod3qGHLzbjgqhPN9PDM0I
7epntrCl2xJHbLmbggq231MEBdcyPYdiQs+2fWprtJw5/gTJ884a9DvpjUW9+3WGsomxI+QzGI4D
+7FnXB1bDFgLhbNenpiJ67H76NhoRnHszo8+qbTFELFmWgo8UZGObbQTC7y34NM9X4ePTM26aoBX
rUv8jJ/GbQE2NyEwNOB5O1hz8eKxwPF5SD0i/CuzIEVfFKdFBbeAyWZRXjMY/PAJAcIai3qAjxjr
6gyyLASucr2HLsZrekpBj+M7ljP0plGWAzV0ES+Al2pSoPSFJrWoq01nAUxEl7B2rvup42MGaiEt
4g6hEq0ZZ5x5LcwIGGbUeuvg9RlboQIKGT4YBtgtU/y6ny2e8nlEeqaDi1G3Hr3ZFMtXkLLucdxd
ywKdHrt7Dhhr1rtJ58Fs9mJsItuih0IAU1EiAQKJF55CSwgJGc5qTP4S8AVPJWC5xoCWkV6Xm6ee
YPGdRzLvaiDRUIpnbLgYl6jU8r5Y+jEAU7x0QBWWxinxgniL9QUpyoIRgM52fQbdwO3v9igvV5TK
ZshXkVmrEjbFF6Fm48grn6ywN0K4Ztb7tf1RF/wFGX4+6R1ONGYjqB6AfwcbuOGlfwIiORbdhzCF
OyfdaDStNNPDKJHbuG9qyAZHn1sdA5o4+AJkMfrl0aUtnhYOnXKd9DgdJhT7EAwhp5QyUj1BwwQ4
LRTdDHgzQNtKmKGRf6JLxo8nOc+la3IAxBv4kub1sX6EG2uHNf4pSPHwgux/3bxZCyVyuat+oPc6
p+t7EYGZGDExndcPajTvwydQua/cBnwVDbZyimxR3yzdTJpdjo267kpVrj/5uWSRUyISwc+1/uiM
h6/hNEg3fpo9kwmhPozveiPTEQ3hwgroOZ8XDQsM/MfrLk+DZYUDW7BfeOFIy7qTQwug4JGH4B9u
gFuud15k4E9ffl4o8gpHGtyGmOxzxVZl+SILNOpsen5fnANWcQYaXUxWMDqwbgUhW6iAONrzpKWr
dQJ7RR88oo9Sg2fuRnCTw0VG0zWNM3zCNeRg19vqf2y4oC5wjqDXVL9u8oau5Om2Gqd1TUq90CJD
Ryp0/Ch3JrfYjfvzgAAHXoNeEaNpL8J7S4L8Eso/K+M/AF/vCnpgOYgPWMEUwU2Qv8HKpgOHALya
outEDZNWAifBhN0wQpl+4wK+7iA7AHgxCdrqrPf+h+rubW23Xl6sxAm0whHB9d8Vtr6f6mBsJaCq
c2jMgQHjLlAHYCf9/lLvAHTsJrjfQlwLkBX+FmtZ/4sNDk34XKyRSv57jUDGVtcbh75V/FYqcFaI
yMKsk9pnOWYYbUs5puxncPz9vbyFECL4CoEKwQ0XC7CfWOf07b3ogVHAt3n6qMCqiZcsImuS2rZo
M4/erEid/zTOf78gOp4COBCxgpo1Uu9wRVCqEJaVoX5wU4WDAgI31Z3kXCDM/dzZv39AssJ2/0H3
1ycEdhtG6PwVUwI66t0FJ5vztOqsePgZMUazrKD9LNi8tl3jLVrqoWHb4u/7kc35tuzRzuSFQ5kZ
PAbtwnEe/eGO3q503BFKqVjh8JIqgn30PS02K5jJJQSJD/a8qUbkddjjU1/A2LLP4iFb6wSOtqN0
qxgOB6QWgVlvJIdMuV82g0Nlv49KVkfgjhFa5g1CvcPHsT80uclmhnpyM575rOYcZn//EO+nERMH
IhseTvwvKnDPvmdZce66jk7BcGPaYo1My49EqGmjqkevA/Qfw/8c8N/KlLvzfP0qY/ifrheFmMj1
jxDvjZVyQjYCr24P+e6PYw/Nvhy678C5EdUJFFnpP4LWohCQP4HlFhsDsjH+t3DARg0kesjym/Ox
hCR5nQ0o1bEvqtatB8bvH/AdC4ViDwoNBdoa10PGjBj0didWYWd0PjXqa5gD0P25ACn0ZZh3z8q1
8BrjAR2ZwpJ7isYyUIvh0LBI2tpNx6pJfszHEOHiD/d1loj8soOA9kGwgDap8EMgCMTvCb8wBLMi
M9Me/EJD0+5oNK16gh5uib7+q10qUNKbuk2BjqqkhKeOCIiBU7hhLnHewl6RotVAA+zminKgB+Fd
qWHIq48zTveovkFv34JM8NNTkEbPrYP7MN35nPLK7UrbL7TbQKgv2nIb+whg2RWbSM3EnTozcoVA
OQFJZFUSN10XqRkUpDz9AK8QUI0cEpIjSgWJLhA2gMWn2v5MMWSAXzMJ9OTrZCLHjhHu4VpAIDoX
C8WP0RxNSRF8UdytB/k40AApaU1jZPoV7THcSJJEL29Ya9d0LDhnJw3oTcxbiG4cELUVbVeSJala
r6psKxpp4Qr4N2jhcPBBs39ORX7kQODGRozv4uL1GJZuADaE6qAQ6G0Y17hkicbFOOvR01Bn6cZO
ZYuKCIi8ze1HhsQVXVXE3CnenHIRBms53w4eSOl8rqTU+F/sndlu5Mi1tZ+IDQ7B6ZZkZipTUmpW
SXVDqErVnMngHOTTn4+qbndVuW3DwH/x4+AAhg3bLYmZJCN27L3Wt5beAuZdjBWNU3ooLnOCIE8H
r4lDbWySWccDaqFqMm/91pfuvEtaR9jto73409o8MjHYZlJUcbrpnJuhZwzwCLbIQWPPc44gYJ92
rQHIpzIoG39fODz23sl2YAJ/NlCnD96Zxlcs72rfzws0u3Wv6ZxlefXVEMKPZxq+g1HGvY1mZa4d
BAbQUs0UUlwZthcuYonnq8Lvhx6FbpnPGedh3+uYbGap3h8E4NT5i6NXxZJGsaBkroMKWnr3UtM7
0cBIfR+a/bGatEy0E+fKgyfLkaFOSweo2B+VEq3rrdJb6mHbNr4/GuVHPVe7ZcGhq/PRtMAP73Sn
Ai/XJ43LZZgF4ui50Cb/kWW48R4kTNRyX2V2YgdpkswP9pLZebRkc3zIxGRdZLq1HqtOTRf0Ipp7
t4NFqnw7PcNcwfrSiql7jHmoLwQ2Uphhwky/5J0sXxI9axCXAvUGPWcNB46rNIXM2r70pP65KXgd
61k6V8684cVFmnJ3da3DSatABzfZeLPm5aDvqKuHnbfoFlja3qm+pnJ8wMIkLzuhJZcVXu8dkC4V
IiVJLqYGa3fqz96dK9OWybzM3rO+jaMyxWeL2r2O7NhvT8CAq/0S18xxa2kLfrWHBF3ktbuf+ZVH
jxPVF7TL48Fc0vi99YsSbLxRrtDWc3ufYtJ5kILuOk4SHf6ZZjXJ06xW763UapvD+Fg9YjsCDmMO
+klgWwJngy/2StBo23dDX3/rsT/c0f6DOZAOlv9uMKzhRGJI434ysW/vsVdpO6Ovhvt+ErQMWAqi
flFwdvpuKQIbX1MYu36cei+ojv3liIZg/NqbAk5LAzKIg0pWpYBtCU365g22W2GR0bpT5SMoiIQx
5HdqwjhuM22/tPvBaHHops2bnvfySrlCv+wd4DWsnfY2BU2mGcz6qK51oPtH+tfaKSssfI4eq9+7
Mc9WHawrZloOvlJ7nWWLx0DTAJqgGX/rYTlDdYklssbNnBUsabmZII2mGyO5zoU6OWPSQuM2ZHbG
CsRCzKEonGartE6gKEp56lTb7U05mpd2WamAXu2zPS9f9TGOz8Lg9cEUg+3DbXXo4aqa3MheGgsX
xlCfZSq610UqqiqdAXXSA01GxVCEbpbYMtBGS7wxW4YsbJb14cOyaurVcKeMurjrU7iEYTEMyVOb
Lu1Lp2RFtIHCphwbncwD0HwlM1OPrhkvnkrXUChvvvXNHiNvvU75W17JNWBMUz2Tm4XMWE7Gnc8Y
4ChNyHhjp8cnkdXirfccdZXTsSdTgZYpfzQegnjUsKokICEdT2twLxmF/9ZplCURnCsqDjvv21tn
doo9C73jhH62uheD0aS3KG1QZ8zwXYGhy8M04mvN5eS8dVb8NHPSfYImvHqHVmIMy9sq+bbwhRzS
wR3HHYXc8jB0vh0HnWiZuRZ4GPR0mo7QeCUIW9+GfeD2/pNfD/4XS0nrMUeJ/2Vap/XbyAOOw6kx
rwXSgIPOThG1IEUfqBC1wJ7r6Urr+uLzqjf1wSqNGG0VDeFzuuiCvUyxIul5hqN5sAvnwmW0Esq+
zg+FPXZPqLMsrn8yT4ZeW/vcsfpXOmvtrV+nOAqW0n+oqm69hM0ESdFlyeUgW2XnWujDqRvFfFv3
cffYkZvw1SomFgezXaazWCpeHrpSN4Y1jJeqc+djNiurofOCk/pf8wNWaMBPHlXgd3YAGz6YTPBI
16uhDaiQwAaUfmxfMaM2rHCo/DLy1gVMv46abP9BCihoot/+SgmQwygSjsfrevUXICDRquYRYgnm
BgIY1A4GpndhMLULJ7mKG29KLHrrnfauxSYqsqvFFmvmb/x/qtXIHWlKe1eFbU3ugLmmK8ohKH0Z
X82aTG7pk5RnTSz1M5TvN34Gif2QGc+4vccoH938jDkPAaUtjeyEr8T8PGoxTn7sRPo1Yp3xKTOn
qT2kZmmJ0E8N91LETeftiUao/VOVejJiEgsmdmJiHXn+uqHy1sGfgsqK63OjMbG/XDSgyyJy9Hno
rlp/YlRjqM6YQQW2FexUod25tY+bwVHkfOxSX3b3eZLBb2Vou0CKy4omi7SuttE0xrGhHfDZ9+v9
4tWQyA9b6aFHm0G6bAq+tWZOilPBqborAdBRuYR2NcbTNf2OvMdHaiSPs7uCnmj00rlCcBcb0WxQ
Il4OHKWHZzvj/AYBVuvkACoXpgIOnPhiGhy8Y6bS6/wROn1sThgWW90fTyaLnX70BD39Q1suG8Fp
wsnw4GtJkaOhSUocWx0khhKSo/DVQ2ahewnMVJR3zQLF+jBzVCSTxW1N/Wr2AXiDFqUTf+3iZpsj
JG5r1NCbOuXmkIU4nQCsaQuk7pty0Rx/JSCiqnVVRXRaqmLTWYERqG6GQeTeEC1OTjQILfK+4X3w
GFCGo7GY1U4YGCuuipT5alDVNGrDddiYdfAIGd24Y15c1Jmwm13CqO+6yGh0RrnK1IWVkO4XgZJM
XZpaeWdAk8SdEcjRxjNpzsyvncEcsBb7CuhwDi47cEVh0Uyj6/ZsSK17n3xKE6uTi3loGoyHuwRG
wgiK3FGp1oRM1xGTzYGbOveLJhqXwmz0lqwMWUkH/oGGkBKVfWURaj1nl+KvDeykNZRPaIlruBuV
TDW2fW1okzM+MY6Fk5a3nnhLpgmsfpo8Jan8nPjSzgOOCdXDjDpjcyN2B53NA/zs6HQMsFxAzVju
z52Vjfsp7fxQtnKVgYvQUgZVZVcPXV06EWAUkO6Y/lhfydT5OiTxuncb0gDaRMXXzAghbxqqn9to
ZbMRtz68xAcXCRBRExPdGp4HHpgARdv8Dq6ouJNt3Xu73nWTq76pm4ex7YdkN4Lzg0hfVwleu0r5
R2jebQRZpdwXMA8eMM4ZO39Im8sitrVrs1Di0pSMHZsE5jvY/6SJTDOe3urRHQ+rMk2oIS6bcAQ7
BjKENJzmjAJwRny4efv8ftZJ9CiSPBROP0noJVWMqwFJ43jsHT7cbqFN/bCSOvIeM7lusWKnsJJ5
KWecWkV3Zpdn88+cooyynPqCS4jv2XWgr7i+E461TJ/zLDE+0ztTe2Q3/qHR/WrvSje/1XK9wyHl
pC96XT2VcDiZs4l675pA+JvZhBMKOKF5tfS4O42wnlQQdyr3woz25imWJh860elRZwqKnsDalnMs
OU2zkX0tUsv9XMSJ8VIY1nw1MXuNbNk2R4um7zPtc0JBWNOUDKxcbwnowD9eMJsH+i9G8VUUm6Qe
19e2ayuz/9JMcIp2pZMxyqQd3DjH2oZVE+KMxLPKYKSh3efOuRFaJesIVvost68JGzK/pGkKLtks
uQYAyW7qhQW/N6SBxTMB+Nc+Vg7cV1KPkGJ21FpFcqpkM3ySnNpSkMGWpX9m453xhmoeRHiQFA5c
3Fy7yFrbfNom/3sDs+4YZIsmb2xb5V/GyZNsD5w8980Yo2dqYtu6YvjWXUpogmXQJZQ0V6of5ZfC
HFQW9jQKJ4xxpfo6DAvvCi8l57RR0od8n5g7TQEztWlX55N1os2MoXUGVEcxj/DzG7A+TNuVmw6X
YuH8FmiUI0NUxq1m77S2QrWrr5P9PPRl+epKAHpFb/VRqWutfh5n13hgPub56Ho2trQzzGl5mCmq
Tqx+9bxTbZrmlHIQkfBUwrs5W+lsaOGIAxbDXKXbctfJCY8AmhIeolCkVZqLYtonk8MwpAJwXFCk
dbvtGDuF8dJmJjW1hUnzpcY1X9yYjTH3EaeKGGM6D2+zyrAzxqRcDpoOoFfcOKMVe0FhtJn1ViL8
1Eiz0DyVx3tGXoXSr4u0cRo/5LSNOTkY17TqCVFgw7WXKGUC5ZXBiB5bLDCYl7gqLhcvpqUT9iMH
MHlbTnhMLGIakhHXaTfKNnuBQC2aJJp5VRiE4BKygAROqm2cYZ9Qq9XHMR216ve+7dVkEyVSZFW9
s1umZQ8wBpmewLzMN+5mtwhNz2/zURbcB6EheAKMg0F6Zv6iOj7+t0rzXZ3vsc/rJfJlquwXu7PN
9OF7u1WT28hgwOdOc9M0YiUvCVDchu9M/LdJBu/h6r4nItYVJnrozrxvrdH72esIuFxLiTvBLgP7
pojzGYJMx3I8PI8pDQXvaqCgVGcdh+0iYHL3Y1uAiyC8Z2LeYOdN/sXyxnra0MnDuNSX1sjHWwPi
kk2zD5GtgMB+sAZbZrBakJpCsNDHsV2aD24nNQ5nhwQ6u/Ry1mONiKgCHdG1iRyL0l36rJiwaSii
PHHIBhdwr6SPOtELzUJEUWM5i11SK5GVOzmjmQHLQESBd7VS+hHFpJVOzBxrin054qxvfbFzF1jD
ByZ31bP0xvJJQx8zBGaDKS4QI+/ODr1IBVx+g/GjX4efsWucHm7T1KE0UcG6QfMxMo3Lh07+BOR0
ugVdRrRPO2ZXH5T8wnTG69xYlmonrQq51eQzypVa+ZDDSnCPLSUcOPZakrel6rmoDx8M+0F5cq6x
10zFu1x1UiviDlZV4LCPjtEHa77fOBsUCNDlqUA5Ica5tO1D5wgCNOLKU1+0NVbAi41kbo17r8gK
OyIfvP7awS/B3p5DZdeJN4NMonc5NFHKCYISxtQupveEhDY6LrC3zDr8YJ3jH5tibV+NCO6fRrP1
QVHpAm6EWPT+wugb9xUGgaBh6cYmbmUaipnNCdVd+nPlOTpUZ90ehxfECwgfgk6ikwtRZbQTBZJh
ogyiuXVOOHmDM2ipw68VIzNFFsyfXGwNvAFi9NHGHoE6TlaIL8wF1oBX2z5DpX+Qr1fiI7TAQh13
0cqyzcORhtmXFckBz8afVOsxXUnGMqS6XbjZkfBjz9994Ks15Ec0D3OZXGksw/1nDpdzegcXHJd9
jxIpu6CCcU6dcElOY4m0loM1ifz+Ax2N0DF5T7oNG+3Nq0JwtpEJinXNVPAXMnru8KefJfY65rt/
IaNVYfv332nRfg6ByKBpASAVdcun2RL4Gz8Y0bUA/NX+AxA9mLX+4nQ9rCIXJWHalSsa+35dAhxM
yxmvJyhoc+wnbFkfFGg/m/zp+AGARuy9Iuj8J+qzxEds7pnxMCnVLQyPUTJZE0uvhmMBK+/fMpwT
0wBgp9uJdMHrl/JxVu6Abnio+ZTM8/9ENVcU4Dc/UpqpqYEsO0XsIygp2ozUkMnL0U7RLrkluMvs
sWNL0F/FhEQusv4CMyc2gjiEHz8ymc24VwQR2sury2oxXaqh7mT0A3F5gLzTciDYaMuV2VxbZUyU
YVoWLkKfv2EqK032t6jtgJdnnvmGr2WsmRS4gGL/GaYM2nyId2OaeSXr7y8wZS1OpTrTuSrg4YiG
BKIPYHLmo1kIPljJUHx6fefO9sKhwDfxJbSxble7ysjTR+gf3Ryyb1LVUZ/D9u1ab/veIOlYM21o
bPXx+QNv3KKTSIJpLF8hIzQv3QBTLiVu/N5FE4nUCaix8MvuNdFmYHHEL2jAHVfjuhsx6PT0XT7X
CWmYpLABFumywr0ZxqE5DXaLW2MDFtMXcC+0WPee6RhnLijvxPkiNyCxEnp/P/3FIs4nb96qNb1C
/FLT4nH73rvorbR2CL/RKJyqDHrED9DhjuZW1BW9EGFr2eOO8uUP1nCVz8YLQVPqxY8HI5D9qGN+
tItd5ZXx7wiDdRKwxPDkUe4fDBEbXxo05C86P2IH/yAD45rxrtVPUGAkxsOtHME8BN7Q6AYin/UW
PHFBRWMAI/4O/R293oqATl3SRdOu5tbsPkEcMqKPuNGWFNM1UKnRPEPNEw95aokqBJanHaWsDYZZ
aCULy/q6jHT/u11BVlLbfWGDIu0xYoqND+mFE21TyftO9FCPb4Y8bVnle8/b1EVdiy+bMb8iNQ5W
iGRk2NyIBTHMcphN3BZmZDW6GtKjPqaEgUJwwcDzFGdqtr/aNYRHIgk8wIXECXT6oEXeRPhfx+JV
oEfBGYvCIfeNzNEjpHPGStno6Qv8zMLpdJhOi6KLGTimsvdC1LP32anrgUWlJe1MlaxjdqrbEXUe
SoOIQMIkQZIiUEkhKKaMRxe14NHmpUGITqrcMqWy+aa32uL2ESNJpHa7Xs5LkTJzzBJQSBBtYImb
Ic9gyxgESvuqt3cTyXkcYTJLOV333HjwNvOIUarHuQ/TT6byc543/dhE/ex4jrHTpTX27ZcRgLWx
wCFPiM8K50ZQkgWrTFkZLmKMjjkQC23ZPolwEt0vD2miJrf9RF7matpBFnsF/x9qdtdRl9rQc2C+
zJeemKZQ6b7nTvt/P577eZbM1BCthM7ocPO8MqrcjPs/aglolXmDjs7/W9XIzQU0fVeDWHbdMVIm
hVTAWRomXWlYFbKcEd1/uICfB7PbBTBSx+bqMypFsL1BAH68gMxecBElmftefL8AcjI3jUZV+CVP
nNYwF/s+Kf2vaA7/ilP9/wyY9/8j8Np2TBwJ/5ia/xPw+vYbgPulpDmQMe3+Aefw/Qf/5F0LENVg
GVy6Ix+RzJiG/mBeezpAB5yGmzIDHvQH/e5PMJ75G/8TTSPdtPB/WjaiFia3H0nO/m+wrtEBMTLH
4y+8/wqMh6D0Z8EGlGiBZNGlGybw5mKU//mJgrvfr5XUlwvbrUl+HLdShxPDbJ1NnA7+DlcNjV3y
ALpqPw9O6wdm33VH4TWg3Ne2m/Mw5VDqA+UdSpsZle1opGkmY9T5XyV5Ozez4+A9XQz2gYw2PeIF
eLo4hPp+RxkuopWOHB1GC7HTziWFg4o/jUmW61BZHjRYLc9dv3SnJW/Ts4HaZ+eSMPIUm5qVgaKh
u9X5xGTsUiYCEJw6VV/oLSGHSCp19w0iAhmKBSMDmKaORRdNl36B7ETF0ZjWF5m7Zt80w0i+zih9
r1mx3RemK2TwEX0prtKqjMk5dnt9DNxNs8qxIzF3iJfsWzyW5eVk+fkNMUvD9TT32sGI85UiPGby
1gyT2rESMrtwE1ILbL6UUAGfo5nq9MBKK1+RXEMy7lTa1pPX8TVDWSWlcjRT/QQPb9yxrokL09wE
0YyGA5EJA/miX90i/3cIg1irO30tG86oXneTxrR0OKAU9QnUugxzb43DYiYZ2fRNnUEvaDe4aaTm
La5DNBx0jDWHZ6d/Mlx3uBob8dKjI3gw4I+SEtTF9PIxBCd09tBxHjjRWc+qLMw9mFTvUMkkp+ZZ
4/iaXQwAs6UXYUVnFpDT1N8TSeLlO8eJ7ZNFPUMd4NQ7URn37nTLkKBmIwCdJRL9VhBjRVuoMa0z
WcLjK2V68tSBYruZ+k0KUEGQ7j1sXgSn0AIdqgPqi/JEpRRf+TKv72AniWsYpp+yeTP1NHpBm3dc
wJAk8cMykujjaHZ1MeuIORpjCIsiz+9j2po3o9a7UazETOXdHArgGbtKzHOYEowVxWsDSMmfGnql
TDj2o1MVv/vz/JV0D23fMKemfBtK456HnFGCUu2xx7carCSk7AzY51GBnQx+mH3X8LTRfieVUOcY
U3mkEGpp/7IynkZ962r71CTRxcaaeEGECdqzkV6RMTKHKAl8fIGlkRxlmbb3dinl9YJZ7+R6PUGU
WgqO0qCZV4ouPVtTy3PDY4uDy6GXLBnxBmNNZMTm+CxCuhH2Dnmauie4xQ7AmNEpOTiiWhLjicwd
le0BqM8W3WMDrxtTEWIgUu9+dhC4ynBh5M+I2ixspulQRmwR2G2RGs8MrZN8p9t5dklV4t4NXhqn
n5RYCYZB/lha+9pvNjghvET+/oTq11vMTz5pJagMc2aCYcfQH/K30Wj2C+CmOj/OjUlMY9kQmheo
XF8F5/BG66aHKcvE/EC5MTLfTBItt86FpU/5K+2qbq0j+nq1uwapvUkwJBOBaOpRnEc8ZknyCimG
rLQ8NTLuj9ZUPJ5zsyB7p9JOSPTIFB+fpoubRCWQS28HKmQokgtEFOJ1bOp5+OoWvlE4r3xHPlHt
5VaD0y6ygCnWcTFY/Afj0iOTdMACQarj/XysC1B/od5aphOaQ2fGvFiG2n1sP//VTk0uBf/6NU/i
p336f100BaBDtsd/vVGHb+B0aCj+vE1//6k/dmnDEL8ZFi5XfUOH2N623/6xSxum+E3oyAgpdz9s
4mzgf+3SuoHaykOyBkEHBdtfuzSwJotfSAq5h/IQ/eF/g176Ra1GgwqYzxaQhmxUx4YrtrLwBw3r
gOFNtuOozvVsgQ+ZObMGjYW9KCzcebpjfVtOuZpq4n31YngdGjE9EbYNm7H36/bTD9/e34gDjZ+r
4I+rEaCFtmJUR0Ln8I38eDWiXmThw5k9my2Ez6RYa5YZt6H1DiUNt880C9Blk+SV7ypvaEMExBza
MCO5gnOuW7/7w6Df8DtSWlBlaTwhuvSMw+LY8TcDL5T6D1WzuRUxP2jqtu9P4CZFBIvqWyco5Jcr
zhgiINYfzrj9kiRy8Cw+TcCrrf3gLg1L4aKMPMpcutWr69D4WArdOlScmA2GN83wnqoeKGemSTti
aNzQtwQvjqqlswmpS5o8vS1GZsC0IvsI+YL/3KftJf5GgskhUznXWZdO1eHf34d/vg0cBnSgyq7D
s8Fe8vOHcgkJZ7Bd9megHuDjE88wA/LmeDRkParbWXX+g4yN8uXf/9mfjyCbVnMjNFDs0Gjf/m27
rB+eRcZSiZB9Up9rbzXOuLfGM1I7/HBx+vzv/9J2mPnxrm1/ycf8zGnLwf/r/fKcyRr1f8sU/Iyw
Srxh3+3KQzywdQCdTXd6i7EotPTFa0IkM3P1nx6aXyrjTZQKjMEGpiUcqGe//nnk2xlHPbQVblvY
YGBGMjHL7RqwFPYkv9G+WXRu/WEuWzJm26Jxv9Hrxw3qL+JKOXTrQ2vOmcPnaOGemO+aVpSSa/5N
apOMdA2BQGgjlukubMtZx/8kcf3nG4VQmGUDzBa1PafWn2+Uzm5f23aswZmNSdKjxUUig0ZggQis
BdLGaU6z4gsGMlRRa4vRhuN3FtIwdH8f3HVtwiVNXJol+fQtw57xPtkydU///hajv/71JuNw5yFy
GHxgTLbdzQX+w+NEfmam47WyrnOBJt/3osGn7N+8x/5+mMYRc0irE4G82LB+09RlxFQferOTh1KQ
1l2UbXUv4ceRrljOyaeZPPvj0tMCkXYrn0jE8KIY90g4kggNHHGwqCfivK/Ps9R6Wp50x5LEAMtM
bx65rzml1QXKh/LezJPbBCWLYot32/MQt4+DWWlW5EwmX2S2mKwNgkSUQJ+9/KpMbe811pmzpo5n
XK00Kvxwhh1c4f5bsqPmdQsx6gv5X8ZsE0aQq6+yb4eHEesKVplqcPdx345HyF3mY5saM65qVyOY
bk2L+IuP2ZxhY91qpMWjeJMMSo94s+TRaP3yPZukw3tvVcUDAa7KDSa6PFCruzFc+B7ou5n+DZN9
taO71O4NQxnTrkTGj7RmxpgbTpy5dlVvdcwvfY4SSLoiLEbDBVuNSdQu0l66cG75oiqYyGbnyweb
2dFhJOnAxLxSrW+eQ3hLr6t83U+Fl+w1DlNvDMHn3xErE8WGtJhTVJ2YU7JXQ97wcszzbkmm0dt3
TQyxerCqi5p/FEOG6Bq+aLRuQd7nucYEY0aE3dhqDUiljENr0OqK0UqxSzbp/t1sGSLK+g5da86T
NOytYfZJQ7ZcdeXQ6i9jDAftUFUBuglkKe+UqKa5vvazpj6SITuW8uaruVRkaHZMHcdR6uehGFD/
MkZq1wNC5yFGMZohGszNsnnQIRUd88WySMTlHsRIJ3SOdAwxPRzQccx+OJTFzPGjmBM97MrBiG/S
VnfQABaLO6fRokp/uHL6weKJmuPG6IG4shfuHS3N45uJV8chN96TxOQZ4L+rfV1mnR/QHmM4slPo
CEIt9g2fzl2MXwpZeIybEsQzOOC5dIlt7WOqgr1dJ9UaeqvNilmT90BWY9ppJcLCJelvmVvhQ2qS
zPtdGydA95HemAMyWW/0zjZanfhUW+7g2pwWVd+uy0Wvs7ohK0lSEuRjEv3avd/1dbZfSqdaLvS+
r2Rom8Qfhq6yl/LQYSTXQm6r+UmT1WpEDG4L+MtFpWs3CBk0dItDXX8ikNavjqQfDuWuwKR0v44D
oc45Qy/jkjxz4pQ5A5rpcIi7SdYPbMbWiR6kWexHyRUQZ18mK4cMtdI6zBc5X1cex6CdxqvSoaE2
yD2Fr1lGSWzRo3BxHRAl5HI2D2p6Bes32sE+2ZhcAOHZCxCJo6Fn4oKeW0HtXgAmi7Img8Q/xoT7
0iqXPp77ORehhVFqZWSQr9ol+TNib8gYrZ+b+q7cGYDCGuDCBtToglQAED78c4EBMr7m8UkwkKg5
YzyLskD73JHit+Du5D0yz8YKX4yU+Ulo1uNSzuZ4dqS/NFFNB/raHmu2pARzAj8AwZxvCwCCUb+i
WajTU4spXO174LvZJQwW0n9y036zVczo0iPP2MIMiiJ91ztrxsVzXEO5bwGfCWld7DIAAK/lPFNZ
5PQwHmiwzl9kl1poGGb4vR5EQ9RUXszvscsGBETdTUDfEUyKu36wjUdjQAsQzJByvXDAOK922I3z
7KJDbIPozWW6eJNprv8Mx3d7OPO87cHJ92l/qxYxeByaZu5NOtdcWIM60rhkB/OfaYPzdFeskl1E
BqdqjkPvx+Zt3qF/vTe92hdHJfJ5vB4U57cgThd1axdkvO2aueJPN826MsY3q2FFwuluH3679Jn1
ieuSlXEWds2nGFvcokFK2uIa+sXEqyNLOMB3NXwE5E0jVUHC/8eaag51etMaYoHWbslU53ZDYBmv
Ky0FYgU5uEXQg1fN2pHphOKd/478jE/EAoKcYauTh7p6RuDgn3AlZUSbM/jluUAn9jbXTOtRHeTL
vTUovb9MKHPzy0bilXnw2C0Ofa0b59ZP2leIVw7QbJFm5qkhm2i8BGnGdGnp3BYZEmaogzT5WjeR
3fK1KAv7Vo09scIteMLi0+xUSX+BsKn6HQv1toZkMNUjzgGetcvQjfd7CTbuk6bHFQlWMmHQK1jm
lm5O7zP8CZeoR3I7ss3OxNtZ2oLtKDX95w50XrIrzZrXhCgeyz+KujHabxUL8nKih8q7gSaVZyS3
kULsEUdMOzaZub00upGjMx2pYWKntSad0rvNP3c+gn9toUw/rf7QGe8I0AH5V4bhTuhbTX6VqoxN
tjxDAT1KbsscaoxWQJVM03CtFpex/9S3gef2F6Ji/HCxzpsdAeXYlpNQFk1zXTtKXGkDo/UdBL1q
ukxgbaShZ/dV+kglQv4zThM8CW7WT0GR9qQK+PPktewCS/tQIsXLXoxmtbwpQDZbLE9yQPXIL0Oq
u0shnSQnLZbzlzTRNXo5LjFXxwyK6p3qtXg9dKjdsl22jjykmTnk1i2B9qt9rhy5SerkpDvXwkjx
CixUN/1uRgGIecariXhlJEgXy+v7cmcoS3XRVCKdPaxgarhUoQhrWIg3JeZZImD7xJDTeMzTLdOI
nc5/5lmv+tvaJ9NpP5rSx+FdpTRR1fgKwmP2jAC0uftko7mbo5nuoUAUXQIaamPQg2zuPNE7mVnc
TQ4Oi7rK6KY0V24nU+sW/WjpHLcuM59LKS25LjpNzlHVI8QJqMbG4bosY66/wzO/71OvSDGo6Ppx
aQXv/eJgNAJjlrrXH1Xp/3VSvhOs394rUsSyfuiyr8NPowskf5yC/nUr5SbNmr/5gT+6KB8DDXIR
tyMbkw0mGv/oonjiN95fw/iRa/1nF8UAec1Aw7cYknwMQv7qoni/WQioaOrTGOPHabD8mXD6R5/i
e4hT8q35u77FLwci4XLE8GjvkHzFWXibnPx01ICUha6WI9FxUrqkBZevxT1ujfiEb3QKMaj29CSp
XiXAxb0xq/jklYN8Zfqvnuzak6/CyftPulX3nzawxe6Hb/JvLu+Xg9B2dSZ4B5sLNJnxfaCdfzgI
+bTwYwPV4DGfRPNm8zrftnpabyQjGiktVeuBRI4p7GVTiP9wVuTE9fMxDGCdZcPxRdStb0hba7u6
H/46xXBJezhryeOIX6o2tgDGjpl/Xfhd4zDYtt0rUycagq/JcS+V8LMnLO3ZZ7XW67vLLBcsyLpY
J5gj/a5wxvIwlGzFuw7h3R3dFwJC1Ojax5iDzpXBQrwXuhTB2o1xkKsKtpOYetjd5qLDyDcm8gDA
BS3BTI+A1u2KLsMbU60NrMFRwZQ75isRcKAte8Bfa+81ly66rV3XlOM9BOt632CKmggjs7yCvHbf
Twn/SHOKNKF/0rpOo3ZxH0dyg8GGr0h6ETHL+gw1ARRSqs1T0DXWdIELkRkKh8RNyT8ubJ7zBIpw
q+0Je09JV1HLS517FaUgvfMre85jqD7L8Inyyd12/RKhBbl3SAa5Ac6FZxXLHq2mQ2SUmaF4Mdks
6Eq29/6o5Xd6nzF+y9HQv5aN7qB0d3UKnBQpN9yMLttPaKiWIONVulfkDiLwbVunJPYvHR6NsUl3
9eDO49H3/JL8dLMe7lUGBidE09sTTsJ4e18RZOHRqx7AqQW2Ixm7iWS1Lgm0RKWcJCDD2MT8Mcg7
wpv/h70zWY7bWLfuq/xx53CgSSSQgztB9VVsixIlcoKgSAl93+Pp/4WSHZZoHyt8x2ficyJsslhV
QCLz23uvvcY2K/Z2b5qalwpZe4Ntf3biyaVZQuZ3SV6zvQywXaCMhRzOalBIXgDXbEtXZk0kDKVs
Sk1tR5IkeKtCs98merSlFaVfc6eqA4TI7DybU3+hXsbHOXbjtWu3zkvotOV+zvR5o+AC7qeImqIt
Xnq8ak5sTtTc9YIAIyjSZkcdl3HyMZceFXj6Rwqnuj0WsQEJAQ/EVzHo/S0casBwUe5kX+GCJoVn
zpUFcyAij0kPZcXYr59ty5NOLeM1995DeJEXuu9aQ+xncngw6izCBF3BjsMVS5tkAPvNpyvVLdvk
LY9Dn41bW8c7Uy+GN56OpBT7JMz6kLEcj+rrplJ19ELBZ1ruVd4L87Zpav84d7NFZZUV958pUQ8U
4RazeJk14jrse7qRfnij0trX3O9i7D+qBTsrGfRGG8BzubYpKDO97qH3TqtGx+O16Xptjh4mq5im
/fcNp8YjFURdXmfBmrBIUD4LhevNo7jCzj014WKgATXR9zNFaTwK2vyqDpcUY6VbxQt2QutgAHFZ
XDtsbicAlWcgz8tiGPL+kznKb+OZcC455WqhliherV7eGwcw+4EKLWPYVHbjNxS6iOZTG2HE9uqo
569nHzLvq2Kc9xFgFfgndvFE+lexkbJ7+sbDgRuZ4UI3al6nj90XnY2+fh1HZJRvlD+whS4hzL3U
Tarwu2jpDG2SpVzxzkPyj525aeOlODfR2v5mjMz5MW0sDeERxM6cMCjwTT+lBEsIY3qxO4Jr5bIJ
1/mfJFCEe710MgKBiGzMQ/85D8Y0wnoH5eyFMja2KBMu61NRz/Kmagz+Ymp9C207dG0Ue9QikCpz
zfR2ysN+9GQR4Z+DfTfeI0qZt3g2ubFws6S3tc1Aa4VxiyijO5FIo+qQekydpvTsKsPmRYiGv4Br
NysFCC3DJdxVYfL3Zsv2uzWjWOdZ6/OB1FtU04zGcZiu3cKVE4CLEAw6IBNneCoMLOGhnBQ5bxkX
no/IcQjM0dwkQ1N8aYz2ozUO8tATGbZ3RquG+w7GZLrWEuH3O5fMMA0+bgS1CX+uvxI2rm6j05Nr
duc+bnZtyq/CdKg/mEk3Sk7BHYYnKlPoGLaMcFsMySY2C21epQiSVyKNC04pfXjVOXPdeG3lpoeR
yQeC5VgbJ0tL2wOYR5y5XEDah4TnDIcIS0145qq08Iwqc8zF1Ey56UJcJ8jSOvm0QzChe8zoZVyj
983BikCwoBiIBb/B+vDpvxvHvI3a6RcbR/Yry27qP28cP0XNawGpLv9x9/j7T/2xe5S/UU1q2phb
bLD66s/qExh4v1E+IqEisDFZ0NDyTw3O+Q3kCJs59nRLx4PFn/G7U0aYvwEVdUDMMFaiNoW/8F/s
HnmJH8QIHFfMpm0LlwzI+kVuWf79DxskYCdEZexQnlRQ1EC+DcYJRl7v6V9iMtDWjf3ywwf0N/vB
v3tBuO+6EoaN8mi8260mvGuWtMw+WTbhRqMfQBnzHLiTdL/ug6kxfsHJ+Xl3/P0NgsTn8wI+Acj4
nUZGjdjcoDWJk1OE8iVWvIAVx8aHhoqHXyhXP291Ly/FV813bS/bzb/Y6HiohEGXGOIEDsJ+iZwY
BaSlFgUjY2DctPOsHp0kNm5qH6/CP3+qf/MuuZJsrgZXR1N6z/0YqgTEv1aLU2PGrJ8unBOPRdwl
x4LWs/rnFzMWhepPBevyRrkCcXjBbUEnfn/iIIXZZM4YiRP5J17IKQlweERTmIv2rRMzc7TiMjxm
48h4bEIjbD7jgWDYwtNFW+lmrv4V2GX5g6TOxUTjMjtE2BDvtvlkCrC+B744uYPg7aqsinakb/jH
/+21GLRwDOQS5sJ5d0EFsaWn4TQJwPmDcdMJrXlz2mw8d7FZPv3zB73cCz9/zlIHSi042+kQfmzz
55szastak0UnThTFfWvMRm06pJpffJt/vXR4EaTW5TPkJPteb8ViIngUp+LEfqE4xS5eWc+VpUZn
QcLO4p/f0TuQ0vdviqYlA3ss4KqLt+DH9YaRqgEL3bBOsRkxKbd6XtPwNQLKad2UT+6iSYIi4ibF
qX2eUNAOhCGtwy/+jL9ewRKKEyf65VYV5vsLxgcJjpKRiBNVsebRSnIDPBIy3RXqGVcoQTF4a4lZ
S2+aO9Tyy81rL9hzVpB6/89/zd99A7gVFYU3fNPo6D9/zUmq5JglJTcvLMyzrnNcGSjEO4mSUpV/
/1JSAknD4EHj1fsraizdumBcap0icrtnYLLcslo6stS7km/in1/s56We5VsICmQciipNXu4vl28Z
tkVaVSXtppPObFRju/iUW2n5NA/ueNcz0nR/cS0bPy/By0vC3WfWLLGZ8gW/b+EoE0h6jFzUkaho
tBMuFSdeUzfU0iGInaNFR9pYdAbchW5sfogCbqlsbDllazkTOnotKk4JPP4uK0grEibcE/GimUG7
hrwTGTSJ//OHhOb9013OmFg6rKZciEpHHvpuZf3hEZyTHBRjZoljk+rZliKheVtEUoPb2iQQfvRs
ghSQpjFi4qqIy0luDH7ZPYd9xqFTTLbUQ/bgiwSI1NLGmbVvgGO4dFGcua9MmlTC9RK86jHALaqD
ESh8BwDez6ms6r0e82M10teBJA7zxyY2rcNgxtVTCw7i5AbCOtYgkLRL6/FdEKVavcG4oR7bOdTw
ySq/Mshl4Rnx8IrXTDpVKBO6XiPCtAHQTLlL84rXIO9wktA57gh06zoIXugz4OlKOJthwRVSCqN8
ovgJ7YIBsZLHgdzBiUh0xlQUgTw8JpTLvyWgBcmO5mZ5xPc2nbEUj3d0Q2vMocskiJ4NAnwcpmfE
OOoDGVk8spfm2iMv+5KQ92RwvshFk6GaN041yxO67/FCTIn5Ws4+kKzKqc61xJRpD0CRgY6QemX9
xcY/KJsnjDEZxgfNqrhJR+AM2BCprx4Fn6gf+Y+TMKMd4lHzVhMjXC8q34cWMS9gfu4756YJ5kez
t5u3Ugm+J87f6hFcQvOWQOgyPQkUfDM3JOZX7lSrx66c+K/IC1kHBQc/8LKYcfbc8rmJTkdsuTzl
AM65W6bdxF7Q9+p4HzBFSInFOVzZsH8BhmT5NDvHcNmYaHB77oIqU1eQwsYzVRJISBieNbm28xTF
5SKO4EC0XxwJDd+b4rhkKFEs4J1e9x15XGwNVxq5hWbXiL5Kdxyz+GPgBSdgHVqei7IIuf8KPZgC
6hld4ybUspSv0s5QwPwCEvTamQTPmzbx4Q6RzeZa7mMNn5Hu82vdtnPXo2aNd6WxnHJpRljqqMj+
mV5LisdalVYwU/6ZcgIyosx+6YvKfpFhp0yvAWCfrhn81w+wN8z9PA+oAmYgxXPe9/kHd46mayTn
dE1ktjC8WEsNd2tg2zhGKUkSAr+8TJOORLzyuejWeuPLDyndEJit5TKkQzmebnDK6adMUK6zxBXU
ktOiM9bWxGrK5+lDQi3PhgFWyYGbhAs7I5kw2dOb/L4tG5ckuN9lXwu7br+5AinVNp3uBrJbR2Un
iWI4SQkr02rGV70ZdEa4XqtN5WeZJnWzbexJvo6zY+DeyvOrotHrYLs0x4Ee72hFNmJQLTCWihsS
2wZ2B0g+zwHkYSwHLY5bGcpdlU/+yeBUWe2IMsmnMsra7ZSX87OEV3okWERgbBzE/JynVbJhyjuv
GoOA+tr17R7X8ZA/xwBPW7LMuMQS8sm7ZTNKdnqsljbxOtM22J16ImJAnDLXbJeFib4mXMPnLmk0
Gj8rIGM1AhxumOmrHxTDJtQi7X5SRfY5Qp1cIaVhfcmX0D2ikeck9YvTCu6PaNbW1OGFq66vjS1x
eX6Rq92IMdRZ/i0fN1NSW6Gxlg6walzSlXIs26sppoKSwDdfDlfsdN09iYXJXudRD3/d93khAQBm
LbogPLjQuFdp24RrkCLaxsyK7mOZyKpcQTHfdjZtpHmovyJwFZ9VGplepPD6oXFZQKL5OwiQZfc8
leaEL34Or6RArywDnW/UCcz4qnAUfcRtR/K7abmoNcmO7GUidnajmTG3RMPgCIG3bJFGJfxg6DfW
iLDKatuSAIWasCpmZXyY9JlLVif6SxUMFImN2422Djg2HClTBRAJs8VhHrSCuFw8+QazeIBvuFCm
tN4jNPM8djvbx9IMkpepT7r8NuDGzS6JWpYgVmM2ZmXBajtyjgIStZgd+tn40JeCW59Eb7UX6NPj
3jaS8qlEsONPc3pIY0map5ToVgH7ubAbMH4UZsE9HzZl9gxs2y2/TWUvvIaMsb9JnbaBMCCGr5k7
MItE4rY/KemrQx2qZg8zBldzDkijg64Uh1+InL7EEAo2tsAOTayf5eNzOgO8f4jmsrD2LoUmN30d
w1ZJo2QTDkO1jzU5byHMlB9nFUC1IR81fOztOjvLoPxmpvPn0RTGbcJsds+66lDIo2oygl1pvgW0
0L3NUTQ8BEA2yjvu+HhT9QzVQG85A7QcXGg0goNXPEo7amCr0QJD4FGyjq+SrgmGfUstwElUxXRN
yMQ6SwokoTRmSWd4WEYjaBzMEx61vB/zDc3O6fVY1+IWQ0O66PHdOYtwONXYa14FbQV4RKhTK5Ts
gdyUs+nZvhlJr3GtaAUwFS9WN4M+z6qU5QLn/zrOXHGchv6LX2rDw9AGyb3RMX2sIUo9J9CpFpU7
VDwr6RTwqskKbpSYout6tK2jpgb4NmEfNC9mNJQnui7VJo/s7mRIXfNxMzVZvTNY8rYam9l+DcvI
ZFJP4ca4hTpufZBJWe773Jofyij0r/Spm+9b7AVkE4LhqUvbqtvguBHRER7NaK9ccDCYtXzItzdy
1Idyh1m32XPK1a5iYD8fgfybzGcBEuYewAMdXjcXz83AE/6b0VfNdQfGazfyIDzlcZPRYq9ChraF
wfEiZHHbMQI0olXJzoI8eu/093i6BsvLYx9LfsOS95SMlFgts+IrZq0so9g0VQt0l8Hk2swQfWDW
A9DCfTvjXVKV4dJW7wgWRGP4WpDQ97dKq+ZtUAbiIAR8QiuV877pnOjcgJ782BlT8+imk9j0QNVX
uOmY7ZKW8YQehoY3zrEDb31wopUBIvMN5BnPoRZ/w8rXmL0TRRrZWc+cU/J0dgAyFH50i645ftTr
QbuGXmcFXmRV1tbVrNqBppfb26pxbHgnZoSzrOPa/ebTSPupdK32lYYR522QtFBudYS0ZtUw1yRo
UKQE++mtK77N7VxF6zqcp26PsPGN3GVw18QZ8b0ZrZYcwhiC4ypyWJFjhPQlnLoG+pHXt1o6xBtz
ae1b02qhjsE8jSPAsgLjoN3hkjklxGQpdHX6z8x0CxgawRzf6o7v6JAa8vQ2VykwrByG7H2oWXxr
FM0ZYp+VVEt1j2NYjf7vmuJ/RfRfzEINCbXvh6PNX4KDJ7KC3Wsy/TgK/f2H/hiFLpI49cELm5s0
IcfgPyKD6jc0MSGYw+GHZlTKEel3Gd1Svy0mToNTL4c6xpHYff+IDEoGoVRlQK2DrQuxU/6bQehl
8PjnsMXG8b+MQchIWDjhWIzencIhroQ10bLg2NMDHa4sdP37wQjmLVWVuAah5x17/UsMC+NQVoIw
EglndUYPafe1k/U7qzKqnd6irfziUGubvMcf5kDLn8abY1qqE6kURBrfjbdG9nl2Yrry4PR2Wdwq
lei3LjgQ/gbNtxMPhfQhMoRGOStlTW1gKU8r+2YFO6rz39w8N+4bgKcVVIrJyZxPc6kFNzD+hxY+
TmM8ZZCJZL1JwdFt515q7jq1Y1O/zRrbbbS1kK3m7pceiLUghteGa+qkRDKuKf9I6o/h1Af7gm6K
eFgpdJ6z6zcpAgbI98zTaHA4unUHlsyc4g3m/Q8VijePUTW41t1syI5eJtCS+HcRXVRqpoHXDXH1
JYPmc4aaWiCtCKiNqyikZ9bDm4cI2/tmmB5bq0iTbdRP+IVisC73ecUOdAgG/Hr+4+gHGg7NuT5W
QWzsus5qXimGrelkscc1noeTERRHumaaD04ejXfY7aadA5Py5CPZHOFSa2QnsOpD24vRv4Q1XeVB
uIXoRAF3SKT0DFjpCW0TxYwnfLGeOZ5+ZrBUgrLo4KlpQaHdz12ixpUTTjiYon68QhJ80MEJ3dbg
QFjRVQ7rY5BGsHUTTXypmywmPxk2MLnhAEKr0SN5pouuPPdRTmTVd7M7G75OiLejNpJrK0fy+xgH
POFHQ4tu57mClOKbW8y7A1tCneRWaOWHEbfDjhbMfFs6bZisjFp2q8bSJQ1DjrEfLb8kp6rAmcw6
DEadrbSY22FlVIG851OvTq5MFt5rqh8DMrxHRbLnCGYYRd7P9fRz2RrNB1qb428V9gabTY5WPrBb
n28sVugr3G0wgYBJbIXfAmWGXOPVZt+ytweXYuKwk0xZekH6diDhUxKGeEm47EFN1OOKk1+NISIY
zrrTDzdEA/qTPTTdJhWR2okqTDetNvPgHyKY8xQ4nIlU1ttOZyMU1PQKrdOave92AC0yreZKyM82
v2SljanGg0x1G1sNxosZxLgfYsIMpFP96yoLBciFsd6LUvTDqo1j+dSY00xZBI1EB/MiwEFjQYyb
L8JcfxHpkI8R7OjjRryDGIOQpy+a3lJdM3tyUfrsETkbBXXR/xYlUJU2rXcjn+Ohv0iFmQG4LwDs
dBrDgU9PdD5jiz7exE0fbuHVAbXDoSpes0EMkrYKNMl5KPMrIvMwakrMH0RWUS+tRcc0L5Kmusib
QbpInf1F9jQXBdTJ9cjeOQkwM7KGH6lnnb84/TxSwteIg1p01OgiqZaLuspKODz1F8m1vMiv2UWK
TS6ybDAsEm2xqLU5sNtubV9E3OIi6FqLtjteZN4MigEB5Iv8uwx8YM0uqnBxEYibi1gcL7qxfZGQ
+0VNblIx3EvMrCBaLnLzlDfpreDGAEnhkoMeLtI0dBpk6nJRrGmCbWgH5kjmdX6KBbXNq3PUWW2x
GVPTuvZBh19pVVsQbrLIzUZuXHwAgKqla6OLBHZx/r3kGlWkUafwiIuivh4ARd0t9XMfMdMyRbBb
YxVMXbZm08HxmLMGvVBNkrwyVSMoGYGJTUiB1xI/+pRqn5eJxbACaajOpjW40cbRIQl7QUkrB+ah
TH2tZ6s6wvoYsALBo8X80J+Ntq/2Y1GuZ40idoZqRbgHRoZhFMOEOIWqj7fO0NekF4iWej5AqXtm
/eanos+iswNPw9gzBw3uhBAllk7gapxmnLB5JiWKT0QYOatDzTRx48sueQmJmhPdJYN73boZZayB
MSyMJWxHGCumNrzVxlZL1nbf8HJp0PbfWN/VWWnhsK0c2TxLDQjzKlD6fIVPAa87Js5DTUnSphrI
LrM2jAeSfv7nns0x/+CiY53nJodbAt0SyCyJceaLKzikkKFiu3KujMBWOJomM6RUuDGqI2SryD+A
EOlOLfLQ5Wvbay48Ub0GM9ZZvMnecDZNKF/RbfByuqJkBjBaj5HRMnQoHecO0gQ2Dyt7NSuUQpwZ
iXULiOcq9ln6yRZcBeDZXsemOCinyziagcAKjAyoiZ6Xm7IU8c1kF85OFFrJD8BbvM250QVYPI4f
dgee0DQ7cw3c2fQ6aDVe5OraM3Wv1X3NQf4k7EqkGODC/IkMdP/aW2lzSpijreusGHfLvuRLqhHj
4Cq1qUSbHCg4InZ6d4MFJQQd2WPD4XFanywX9zW0xJBiSJy+jth0kwaMYMhqZW2nGmvIepw7/VHG
bZtvKlklX0TrBMlmUksmKBABKd64gdDjtSmyFmZtZ3iBUpliG06iHtRer9dPUUPTHls4vq7wRRNx
f6vpIjlPOsVto2/v4ph6mY0lagfzOxTM6ybiFOEZbLxu/SQXB7ZYxTNMtnbbgq1bF63O9+VTdV9w
s8T5swX+h98Z9W8mSOcNhwR8wAyXs2u3aoyrBocGd1EDuyiYezit7LugLaQQkbhAHDN5QSV9auhW
WiaAQN+GWJVHcFsaDLTB1Zas2OgzNUr9ISdFQdpqCPX2hjTVdC+kET2Maa8TimoMDkw1Rq9t1zTn
QBHXYVNkX1NUjJxZcItdRSgO9pqicTC0g4jgatuZCDB3gcgEi+O8DvFYfYGrU+K+mzVC7qIZlg0m
TvJNFgOjmIy5xTIECOjgxuRoPAWZ9KrFIiYgeaWd6Y3a7OBHj+P+ClwOx1Em4+A6a8qEbGrG4vqT
GZOchFgjMrHreOjfc9fOTCq5BvyNKlJ57ON6cbREpK32cEQpUhpJ3Po8WgX7L7rc3IdxJG5UVA65
FRFP8uTWCb6eUFnlzi1kGl/X4ZSMK5b27IYY+fjIibs6Y8JznivfjXeFDOrWAwCnvQpUvaNLoWy+
q5p6XJq3M93yQmPGsVPhm9lFYKjuzCgIs6NbRuqWQUr5TeW6iFapHugHAH0Q6/GjAd6wOlBBY1eF
VnuSRCUL+X2T/d9j3a+OdZzqOE78Z4vLIU2BdUXNT8e67z/0x7HO4Ry2UHsM2pQBYi558d8Pdsr4
jVy1pBaJg5qJSxod9g9/NFFyfMG6y9mNJKwuCNz+ebBT9GVSEqI4kOGYMf/NwU5eFPmfTnbI9JwS
ySfDybM4Yv6sr0YyogzXaMLjWBk464eSaDSje3kqL1c6IWnBoDdWD2VSVanXAtD3V3rvckoIGsam
+xoers8AiptovtxP6eXeapfbjGMHd5xxufuS5UasLvdkf7k/J5BNPG3NhnjHACDDS+mD4CFwubP9
5SbnZMH93iy3/nxZBfJlQZhTx6o3PU461omh8I9MgFk9hKtVX9SypLjL4tICV9sAqmLFIRrRUpLt
YkJaG8EgzCtlck5rwIxcDzRJeVnfnZtlGXMuKxoAIFY37B3RQ7kseYzL2xu6QbNzFmuMGx2KrEJQ
KwvVHZRKAPstLs+pzQCNX19tDCbh+2CQ6miiSZyM0N0xEas1LyyiglyeTaiMRwQf5mAmxnq0/WrL
c8b8lCp29BGtqA+GOcqNCsVz0E/AaouJzuHZsu46M64PPT5nUKnmXYh9B0VK0jI5Mc0c8UDeWY5G
610+nG19gPydppg9y9EJX6VvljvhFNaqhvpzMjKGfJEcKxhxlsPHHkbBdUPxxM0QokPTvDx3Vzrm
TbOgQKass29xLxUpTzEhrUTuKqid5oy3/9X2/WJt+Ia/IsJIwQsxeEgc8yclNMo6nCwnPWUf+6HI
0ApV/hDXjXW2RjWeLIpP7qIGmFiZ0LRhWuGLXchhTZD2lOrwYKHjxxiEmFPR+cwCXozZQ1onmCUT
MvCmlRC35BPBLJvc01ECcXtMuhVZveZjMiKjiMYcbybK7dblaJtIw/yl2jgEa733gw+z62gZj8Ul
mBXnheLXYl/e6GWJ+TCEqzLp3VvKf8/qC6rc6XO0Yp6M6uzAALt3OWZhZvdjH71inm+I6rWruOy1
XUKR5o75en6mnwELkOzaKxKY4oQp2itri5ggl/11MVrzU1+Dr9xobRseBYiSdSmSFMe71Yt1hX60
62KfWC17OGmp5qiH8ronu+R4s2QPSA9lTORx1PYcdOGeN1yD6xESIHt6etHl3D5qVKKEzXx2o0nf
+vDre/KqTZV/noYuvgstJo1t+mggpa5VKs5GpacbLFKvDbu/Aw/gR6oKczSP5jmjD2mLQtxOqyyi
t4LmdkyrfFPTG3x44BRsGj22T59Ex5m+n5S/L4deux5wKG38rgwWJM0Ti2Fzi8dt3GpNXazSJLCJ
9jTiUUiNTUsMhC7za52NDlpvrB0dP7Q9PzKfesdnZ+wwOE+dyjzEzXFuI/YBbehVLRJsTiGCj/wl
JAMeMK3rbIwRkYYy2iZsMuA1xg3TFyu9L107OPTo5NgXEmRjJdkQjOzh0MBNUtZlvZuTkXxV3R8p
KRwOUIH9BEZ+M9wPAhYvvIq9Vk32zUAEiygmZzox6A85rvlUrSujNuM72nOs7IpuvZuMHWpRcYCV
clYfYgtkrjA594Ru5N9xaIhuaQV8oclaHNjXVUyGjRdZ9jZdKuABn5uat6xnYbmmicY8BWmODwK8
/brUodr0mUg3KQUkdxPLrheOrHcAC2i7wwn7PHfAenuf9ZlUfXsVTeP0rCas5rAe9eqB4+dDrpMb
JFaR3Rac5wF5qBTFJrB942CVhG93JaABNo82xymOM8UBMjIUpIjCtzVJRHVuY+cbUJ9hhZPYIObg
pp1H7IRiEE22rleCasebIaIMzW1VdDbFTNCHNWDceDkQPOmu+T6KRspdBtPh9zH11OcXrnXY8WzR
qtdEi2k4DzkuAe4JB1PeJjVVTQwaR3efdG48X434Be5HHtgPVu1ziyQDl96hbnv7c0Nf7zEkUYLN
GNP0l5arH5mAEC5GYc13OI9QGnWuUo1iGt9A5i6wl5KkhbXbqjinAKNqD2Cxg1vKZNMHFwSR41Fg
5+xI6nPhqnkIn0pXNGRdRbaHOBS+uPgR0ZTcGk5sMLWCDu8asYgdpSO9eeg4nJUu94fV9yRFxlm7
L1nav0E6xuQEEma4bul5uJtGs9LXIEpGDlAcRQMvtjuOI4KzyicdtvdLVevRE8/kIIcp0F031pzd
+rR8ftNHaqnXYepbZ42j5CeNDOFNpjsHTJLp1yyz5JtN4T2MhNCqOtIcfbrB/xIdbDR+jldIcq5h
TmskUJe8BApQTdQ+dB+7frKvUtmkb/DpY/+YdSbudjqhh3uf8dEjzxG1oVEh2HbTZILLx2gBDiuh
rfcADH58TaJICRajwH9USd7fjTTdcFVOoXYXxbIpPdPK6qd48pMbTFEBDFW/FQ4aYzYfFNTrN9FW
yRk680MKbcBcRQBpDomB5AqdhJsVNHx1S9Sj8ldEM4nPmE3k4wgylX4NVmt4om1n+EpHUPWMU6vf
5lpMSYUWKDTKsZq0Y23E/V1O0VDt0VHEll2fmltivlC6LM0F0OxMZb13qFt9VsGYY+Wc/e5QGq01
rOMoRstRThZ/qmhEEJ5bWO05FguCWBut6ka2ZXrgnoviHSdgclKTYKrHX642llPrT75qfYFiSG8l
LmAN5AKTvDPUbH0H5tihW6bLIb27It6xPMcuw4g+W1mJ6VyB+aqOBiNrAlxCX089ZOYUnAyojHJe
gZMWm0qHuytjk7KpkMy0ZzQl4mbTrhsASlep1nOQd/yiXY9OXB4A+BBuztIcha+OW8eLgg4uTseZ
/3MymWW+aYWaGKrF1fx1ORJe++iPa8uUX0QQqo9OmGcvlC8UWytcKLYs8T5Ehj4ptNWgElZE6sr0
Q+TozrWahfOMyJzuy7CcgpUZ2IwtJ2uyvjhDHZ5abD+PlDvAPnahxQmvqvsGs4RJFa078n8p+KU+
JrbCCdS2X/Wr0QyNFzjL5goxj74Lxqv3tmoJ4MejqT+h+hb+JtCHjmtJb2gtY9z7piqzogsjk8Fy
Sov9z5Fq84/T3Mpma+XheOqabtrhxdFwPdRo+wi80L+C5E4nsPu5yp2bYOrXRZj1KyoRiOV2QLbp
i7sXrYLk79DiFtD8Hq1tVZq3MmVv6FILuqskGwvPrnvxRTmzKT1RlMEjTByHaAezTOABGlYMphcR
zok0CG7wRMybwZz9gwkjeDcLu13PpZUy3NW7K0MLN7Krs68h2Sh4PZ10vkoyIjS8Nnm4TiQTzcB2
/C9SFP62L3SmS3ybc7Mqa9Fdh+aYEBCBQuH5vq0DTagD4jvQ9uO3Uld9TkiXf5RamLK0WMN14Vfh
p9Qf0w8RpPYdk1ON84HfXdUlRTtc4BLZss7UKtDZI2ZDQHkZUEgUiYroVqQqfAtmkHxuXMcgtOIP
jG7CyMbzUJam3FT+PJ8SzSiPgxTGFe8wpfAwil79OWopfmtb1M2KOgNococqDaw1drZP5QSAcQU0
p34JrMq5s6pK+wrgof7um/3vKflXp2RDX0pt//MpecuGI3ojCoEISq7k8Pa//2N8/5k/Dsn6b/wK
3aYol6DF95PwH+qn8xtuSQnujS+IWlcHYfQP9dP4TcfPT96DX6Zziv0zBgK/DYObXAz/IMCWgPG/
OSS/883SGmrZAKEwjiJ+Wvr7lG5A/Hx2y6KDytkFSDIJBugV7kx1JTo25Vjd6vyK/CsBbBWCXv/h
s7r7fhT/f3mX3cGlbpv//Z+fDdC2TfyEVnv8yDpEa/kXNzYdIjOVkGO7Gzqz3zgTbEwjMtM1g85s
/394KeUyDHAEU4f3NaQ1QUTDyOx2JwwMwqlpsA1pwnLDdKP6P7wrPkplLVBbsseL7/cHX+9sjAll
C6KlVHOMQPbM1bpuKaZrR6f7fl8COPz7DPg7gfjyAVq8J6EzNCRwu3y9P7wUfLouSW0+QBX57G8n
E45HJ7+NvVwHuR+vOBIv/vYFlgnu4Rf69M8phe/fnmVbgjokJp3Ekn5+8XYMKc0p2xZOs5DeMrPY
5BRf/KuIx/IqNgK9yVSInkYsjO9epQlcq+krv9vVirgu12ZOh4Y9Vk6/icvslxmXZSb0w8zo8nKk
E3RsfzQCS7G86R8+UbvqOaobbbcLJubWYVJ/dSzzG57BzKN5+iTpwPhFNOKvHyPDYpC1yP0GIv+F
aPzDK/phEjPCp8IyJrTAiFWlfFmq+EUAYPmY3r8vE0MF+hrjMJqXf35fqIiM06uk21nI5mzztKsA
XhhOV2pC9cz+xXv6u0/xx1d796UxqguqwE67ndsPhufThRj00FPLRUAvlGqB9SZf/vkGN3+Odny/
UAjaSdtifsgFybr94zc3hTyBB86wOyOUggyqSB8DOicPFPm4e3ppk3VXnZ1+cldVKvAotxyCcA7u
u6Audn2n+k03EhWvB6d8HUdLO0ySM6OJZv0wUyELmRmvcVLNv1iY3vtPlisO9DpYCGJcBOTeX3Fu
E0izAHK/iwY4/UjDQ+J4GN/6DUWkuhehd61o7h3WFp/exkxH8cxwf7zrDLe8wTJvrXCVqVtoNsH/
Z+9MluNGsm37K8/uHGnom8GbBBAt+yDFRhMYVRLRd+6Ao/n6tyBV1UtRMvHWHd9BmVVmSgwG4HAc
P2fvtT94wJ3fLE0LaxU4Oywj/O/dw5AHJawx4nbg16Vbk25FRH1FYpjv9lvZJfLTlFlk29EO5MBc
LvWJgGZxidlCgaSeeqS/JGEB7qSen2t9Y0GQQjLg62slNF8kgymuTXfRjksxosklPSSC8N/CDVrF
7+CjHnvS08IAElUobM3bWSSj4LcVPsrq6dQjhd6MWjmEdG452pTORWoXn4bRl9e08pDDY4XeCWsg
30TrbxrKzkOHsGMz22jlp7hEfJjOKz6hU/u8RskfO/NbMVvnHvw/Z5ykOPRu2t/wk+vdn1frrw+I
z4q1oLOifqLn/W6xEvHkIBRZb7pMr5EupgAn9SO43odhQY8xDNjs/wefuJpOaMx7637z8+MRiEmR
d1b0exHHRwO8fwkkPKjtS2FBWoMh9Pznz/v13e47IOLRUK8OMxyrP3+eTCifuTf9Pp/J7zPVSqVG
MLH1TTFHf/6oX5ep78BtNXWoi6uV5t0yTTjb5yNY033gK+eCjopxbMbB++AC/vZTbNenTLGY0b2/
ZZUOQaofuYCaK3TBKCvQDjRZ/Ns/fxnj132Mb+MjjKBaJDnnvVWrgJpmuO0K+5uMJkLlm++wiUF5
lXWDRF16lBQsfN2zICL6T0Cp9o1dZB9tSxb35+cXxiqJY4LJeMcCKPzu/nVdQxip8kjDnkpvOyIq
2oGF63f22NMht+zFPho1HA+hN9/KZvTORZ+P+8TR1VW1LNYJ/GD8wR14T3Vhq+R3whRNI9UKVrPT
z2sqsTWNfBtL7kmOqY+6cLaBjhgO2U93Hct2CFMk2S8lovGwJPTjBi/EHLpMiKPArxvoeOW3EmnD
deFPEbaQzwOwx7DDbnk/16iS2j5zDk6Sjqd6JltV7z8y0P7+C5CRQEIBNkhijX7+AqQQB9Xsj1xU
TvFMGdrdMNrJp5RdLGQolUexNHSO3G7PG0tUkCbgUGbegxRucBxamp10OdQWtXRw1yxe84B35Nvi
xPXJ8tNgN7bJHI1FrvGu6MsdlML2g1fCOx/n+pblFvztG7zbRsYeBWDSzHI/g9I/YdaqSeyZatjt
etRnNLeZ2HKgz/UjpI6V7kPY1p8fEOu3KzPAKMaA0TS89487GAl7xDAi1zBK2vJD6TtfKKtuGa/T
IA70r02ppifPNNJ/APLtBwXSBPp6VKzdfoTrO1NHli8wW6DUMEYaQubQhikfuJ8c+pl2nhjfZlgU
bJXePe2PraPn4Du1AG00FipDOfql5hjlYWmaV0/p9+7MByW2AbUDSqfzwTX/tXTzXU6DoDpWnBGn
pZ8XDeZH5DLYT/ddXj7VMQm5EFO0hbTMBrzLB3Xib7Ztl4qEk6ft8YPXGfHfqyhJKH29Wgv2bVK/
BVCQeWsrkB/oFT/4pPUnvdtg+KSVYW2vNv33hX0XJwMZXw4rSSQPhHQmT3m54AarZk4Tzlyg7dSR
pJ5il6zyPy+h37x9Xdy/4MdpNQP2f/cl+yTriBjVV9X7/AKCeW3RnskUeMN+8oUjr/vBC+p77fnL
d0XfS0eZA7f7fk8nMFFOWcaS5RhenyEfXZszLqEVnxJaZHCDHnxospK589xS3Ng+hnqZiEinWvnz
V//tYoIgwZvFwsP+/rWcDYwMCDOW+9GnC6qv7XobLRFC1ga3TZq//fnjfvPSdHGQcpuJiACj9m7H
doO8SJiOcJNnMe2TlknqAr/pgzPib6+vQSeDlcTlxTn/86rNJYpew8avxBlZhL6aiFCsSVtyY187
jtLi6QR1GWlzV27HOKlCugElwFntYiH27YPn9ddDuY+pi2oZtj2q9vfP6zgPzpJKIDyW6vVtmniw
/sRC5jZd36QitLSVVb2HBmVuGowOHzxWxu+eYKohLjZ1OwyBd9tFj23etGpd7GfDTr+0nsCvQiBi
fyMzwwHZ7DYkzyNBQBygzQHuSuV2JN3oecuEvkKhU4SjNo9XKrUYCJh9PxgrZUZ+/fPK+M2v6Qcu
oBUefeqc9+SKVGNqy3y/22NsQ69rw8bEShZsVxXGB5fkNx8FXdIGvu7RhsMO+/PqyHKmAJ3wun2/
xNUbcm7vDiUp0w/N1f8HX4sa1LF1d22p/bKrwcRaemZl3d4xM3GHhcEF3ebFF7no6SL+u9F4+2P3
+Hvz7DebGJ9EW4QSERz6+3MjffEkhxHR7TNLR4nd1+19Bbhsy9sNhvdU4R1q0vmD7eO3l5LzNVI4
EC7kEPx8KZNErwGaO90ezqsK0dOPmyyvcHvqzMj+/P0ALP76hqDSAOCyukOwXbxbyT7Jt0Oy4K5w
baF3O3eeexr9qT0CtqriugxdgdHUpSYvSfFTo7bj5DhMWzJorOqOWCYeLsaaS3CM5Vw+mq1C5CDq
wh8iSKMullp6+q8N+PKrAnSC3CVpmeQYiI2MZj1fyQo9cn/8CP/3yPzX0q35wtHSYJ/Bnl22oO6R
Hydkxjy4gwkmoLSRYuxyo0LhYqHlN5/RlmcVcwmaJcmm5QSTIusWVrwGHor0kywbYz6WhJQ6e2DK
lb3V9NY4Vcs0aXs5FEpeO1U9+Fc2tL74jhFUWe/4Z22EVCtkMW0GmxljVOOVTa58j6FeNCAFznGn
duW9Ios+PoFTaw6GKIi1mBMB2S5Is8eKmFECYQd4+EcvGZMWB2jTFLu5yFbTdgtT/DJXHCcxTgZM
r/dSMtGKIMrO+D9IL8b8rAE2pe9QtSgLKuZtG5UB4nn1wMDOTNn6KVx8uxH3rQMSeQ9JN59v8cGr
e6LnRb+dNTy5Z72pfKLP8ZIMR4rYadf5U5DtbJhh7YYkngXbscwD8pp4RW3LeG3/6cDYik2HIPMT
8YVlOJUV2h9ppwo7d9s6h8of7ujz7gZ8M08EhZfPTL/1c1+70PIrbKraqni2uuBmKNdkJbmbUq8+
o1zfKDsFaQ2jem/aBaE6QVHtkkGdLDWPodnK17zAloeai8CtfLJ2IKq/2mRCbVeuBb8DNmiXXPUt
o2Z3z7yp2VAxL5u8DpILabfTF6/H/m4PMzJ+T70unescoCAigp7mjZOVj0S3kPDkdrdOUImtodfZ
LfMnDCF6Zlz4VZleWSP3g9MCYcVAByaG/ntHM+6yDEc9XOj4GAd2gd6kGCgqpBeWvCUiKb3ljhTF
Y9fb/SZbZtCBS3FT0F2aRlucimkyo0UvsID0yD4A/2HyxtF/MVpplHFnb8njOgN/nrbG6Ke7ZREL
GUr9gA2bcKaF0vUcJ2X7ufalflmnnh/NPclQk96LN1fr6hBUXRv5NKz3XtM4R1EGsBrqeDridDGP
cvb8LU2Kk4mHmlGhsSuc+bkCM/1cZ/HBc+z7bJifQX3XGOKJccV1+VwRoY4qvqj8oxq8eqe0DpS5
A1At8BHPxVYWuUnjb/Wc+WI5dgAdcxKUsD2150xo6rZLhH+Ww8R70ZKXxJ57m3KCTj5r9TfZjS2A
yz47oLKC5F/56s2W/QByfySVKSpU1i8zSQwd+jWO5qYuYIg3DFQfisYHHmmyeJ4qU7emyOs4R/Ay
ZZPIk2HEbb8U193IKkMHUGNuMo54g2YUyX2zc43Fv+D/YFfggdjGiPtmeenPGJzkC+HqnkTeg3Js
LKJFmuIFrA50ygSqvgYHu917mtn8Y8J23h6sojSHCJ0G4eFzY3iAG5Cu5HhLfYJfceA4UFqaTGcK
2nTZQQiuFFSGuowW5P8PKV39W7MEmRJXdZEdxxy7mEN+wLWB9wJciUK9Txj5dErRun1xVz7Ehv7u
6ijSy4uWl+w/euknLjoeEpvz0cmsS+hQ7r2tivgtoLk/hFQBAAfbWOnRMvvTJ+ZM1ZvAF8F4vJLG
Z4DuIuKI5twEoD9e0NmNEUD1ed9TsTz4s52/KITCLMYSs3xvdqel4TydTcjN4Z/JJ7pwjEFyiSiH
CA5WQmoF3XNKTsQ/OjRpu2LSumeEV9khF3FfHvHY4y4DZfDkNADngSaMY0T0W9VHwyJ5ONBTYnNC
+B4lLjrsnILrOHROEXm0kOGt9oHYFZybKma2uOkRqSfqsYvHFeXvZIa/CZIxzsJGJyY8rBgNHts6
Ldc1qI2nJMjTe0RRSK88MRBGweXUHhEz8BW9NanoIjEXflW3UI/KnIbxKonjBBMLGYGN3i5XTb+S
SVKbn2q12d7GR3avetNZNlQi3clt0/QmH2X7mdaduaVx5tyg3u7cbd1U+ACHqdiNzWRXe4+gthu4
nsoLWyd1bniIOh4q7i5N+O5UVIF946Vp+0WoRJBTLowHmXG98cnN+wUIOlxFLiqKtflCY2netY5o
vzjrCTOs3QU9X9Hl2Z4rmx2cqeLHagDhDGF3p9bIg8tFyRY5UyueVcp1XTyv+0djJAIdGU5CJILw
P08J3Yj9EPTyazBK5wb4rTZuVBMkN1PmQHgZ3aqav5KFYPvEY5ujRZahNRrxfGnwWm6jMciTUEv9
DqlYneY1O9SAO7wjofehNWbnJsNL/al10+QaOkcDHcMtop5s7xSz+RJDQ/UpIlEtmduk9zHwCD2O
EoInLkTFl0dBPX1CUsW+mMTZwWr5262uJTdD0LmI2nyHCrxGLX1jW12JUWZNMsCcVZDfVIzxKa16
/kCsAh+U7Vj2UQ7WYNjglWtpY4Funmea1r6noJElthPG8VyCNe3XVT6kRNG3EG/usypVj3bTDx6p
tPySpaMXZ78X7auVp+69Fizon9t6TG9mtwJ+Ku1aPJcdvCTwUMOj3k7FOVtvtyli/9LJjfjc2YoP
KrR5R8cOvjlFRnpjS66an0P60RNtftOXJttrE8kDG5r28ZmoBPvYrRRo1xr5iQ3Eakr26VOgM5EB
RGprp0XQEt9qmGbevJY2XxgPKaI8+i1SEEUHVAAtbkNuhp2jryDDyo3PNjROKEKD7OZjpZSLsmJg
JS0aKsCIBhIrjT0rvSmLvDHCChHzLWYTmrg4SLnXuvRTdXStxq/DQPZvjQ8IldlFRQZ6NXZvWpMb
j3YCTodQTOObq3JyfHj0ujt2iwUDVN6K0DXruQgF+rVvoOTBAMTw8w9a23JZXN7kcq+PBcoPl5L3
YTFL7Rz0OruZ56pv4Lm6uz7GVTR0ZnvdI4x+AQLT3Rm9n9zELlS7HqA2DHSfiBaZrih6n+e71pL+
qcPYod8JhFvs8U1ROceGtI03KmrvijNxvGuHWLCJASamb9pbAwNhy/8MZLq/jom93KuyVAfbrbg1
vDYvLWGDn3K8JLt1bdnu2tqWn0SrgN8u6VufNPwriZI0ilVrfcGYRVZzC1uktcnwwNZUh46C/GRw
vTZMNO0IbyHPIWE489moxHRLEUIIu53Hj3h+QbxozX0f2FeIYDNmkXrGWUaIaCSK57qj/0PStDrl
VSv42MK90UeyLFJSAPautTBe1zPtanK19qaenfgeJTh2rSkbEjbdagEtxLCxg0h5BIFwUvOMMJxn
80pPRoGp16tPSVrPG0p9SsCA8R8t1NfAISal8OoVj6Ssr6q0T12mG2xppLotluy2tWu04dSDkYPh
9US9Tfo4wugvwbjOmZp+l9JZPnZx4zEtSylIFQrPJx959lmvccp5U3twgaRFwaihWM26Brrz8kr/
r3opKg8srNdwkUzNTtjoOeGAagGYFOZFIY+FpltoBjUi5yq73clhYPBlDG1EhTreYozU95Au5f3Q
wc2wxiA5D5IPAfDi3Q5EO2xoTM/woWL7NcgC95HAnvKQZd4juZTVnnYpyi+dUg4hLa6sJhvTqwwI
ddgY5jG2FuNLqsfjDvGXvu9NY4GeNljRqHgYsbL1m7GgVZjM2CwoLuyn3HYIXp+aHY8TG3CTczpN
3C5A4xUEb6oYzKcJ/td1UAULqoXKfmjTKQ+Rots7zOjORYWr/NFwPO8Oprbc4Tycup1HXbgRvcAH
MU3tt4VREzK4pM+uu5xlkNVlkqFHrDE4teSGbuwql+HUoqdngLAJlt4MB1JjQ9NO8td8nooTDtZD
X3RlvnFs7bKZgRkvuvnUEya041EkDHyBBM5Uj4IMVFNlO/En4jQoM5BYFmyB+ab1++zs62KJisry
L+ScsXvpKWTxssBoKJybCrdvE6ZjQGwwoI7jPDfqygUhU1OjaQUPnFuf2mTKCRGywGeQwLOmsiDN
xGyp5TxGzNDUFWCh/LkybXdPbkHNK2cCtNMtLS2NIdOm2wDl7OVMM5tTnadgGuE1KE7BmOlnx7OB
unnTIcaBrXxZXJXc5QtZrwY3GzDPzIBnU48SrL3KZywP+cGYtADAkbXhnPMqmnqNW3IW8CeuWrPg
Un+jVG88E3Ajjo3pfTEW91ssmu4zFWv5GWYocCYptU9eSRaUpYZk22OovJtdKpYSvhtD76DH0Icx
r6Ucmg7KrFR20qxmtCPl6dI7eIUBkwiHTXOjjQkotHr2mhvaN0Sumn6eNIwBQHSxRp38c1URo2t2
PvCljD7yJpvZQHOY219Laepfahj7X7tYX9rQBLN506ECODkib+7ht/njs6Di4b5lHHIIByl5S2gw
8soWduESTO0Lb0t6ZwuQpIGmP/8J1or5QH3MybRAaH5Kikl+rQpyFjGd0ESQ2ITfCrumqyCXPv6s
y9z4AppnpZfb5PhIcCWfIfBxCLfjjOxpWHTyq+a0WDjMRQXedikc1MAdyK+NTKex2Xk4b5udHYx0
NIYpZXmk5kCBg3u2uU9x8hI6ljTxZ8dw+DtBO8Ht8vKgcCIb03cLjgwncEREQdGQToNcKqpRaeEu
BalSgdq2a3mRLU7PuVGvlZGGYztmyY7ilZ+8wKUHEjDSfozQ1c/aXpvXEqBnQkp05gRcLk91u45c
UVG0lrHLXYLe7rkhKvj4sxIqTfEyQ/rcEClVvZkDXtDN0FkQN0eAmZ9/XExHaclAzoAFnWeROso0
z1imZsN5otlj/EpCqyMRDzTC2hQgMa2+d9CP1fsyy2n3oCxAkV4XU3Fo4XkEN2a3IiR6Z3EuZtE3
986IooJbyLw1HOOO71d4Dv0Q0epFfiFRMah9NSP8uAoURmfl0hvdDCa5gVeuZqQPxazMfT2Q81UZ
gXdXeAGS7Lb19Qcia+R8mGjDxzf2wJc+mErnd6Qq57fO6pibh+i9xl2KjQKviZ7x7NL7T+eIvgxX
UWk9f36pTfk14/SSbfhlgehLJb9lRMiV+2AQkPKGYBVa61hXJsyTPD/geB19OdT0/05jJjV9wzqk
oiOAo82PuitooghmK3j7uwz6HM8UB25ewry/wmrQ4wK6wICsylxIFb1JlaWTd0oJWXo1BLcSbSBJ
GaSFADfQT8ykxQFdvnVXIVK+RMuUPS5LOn4aMRD9aKv/rwb1Aw0qSrQ1kvbfreFfADzX38b/89KI
4u8i1H/+pX+KUD3jL+g6jPMwXa5GzVVp+k8Rqhf85TGGQ1vH00o15jLN+JdT0/kLuM4qmUTIiKhq
7b/KZujT//tfto71M7DwfaIPQibAD/wPWOTvmsq2j7ZodWhaSFMC7PrvpAYGAwil60lzpKYogJbV
iXNjCQ44Szl+JDl9N//6/lkMoxCc+oGNyOLdLEBJcko736iPHofA6wXIwjWUguARs7h/2XX/6ZRz
/TybUaPJlAP1HTFuPzfMBV4vjx2BzyOnhFREveXhzieiZvtpreD72LW21uQbD6PLW+Rv6+DjEcH6
4QzdXGhJ3D3Uhe++bKfpEC6lqI+L6PuvVUnTF2ye8i8xnk8ErgAmj039o8Huby6xw9UiZhZNsf+L
tol9Kxej71XH71T57+RWhR9k2QQZ1X8COm3756/5yweiUkEDyyJaUbq/yEJyXZtaU4rgkGoxSF+/
pfVID2Zb+Zb22YqV+/LnzzPejV5sHiCoVAh0VmVTAHz455sKa0xfknhSiDSmjleCGxP7B39HV2St
ryByCD/GtV/SgPLmwjh3yqkfSQL1xhBALraPxJPeuZ9Nc8Bo5QyKIjWVlwbG0efZ9D9YBZTCPw9S
1t+X8ohnnx5kwMP+7vetoa4kedUPBwfRkP2gVaYTX8ikZKiSNBRhVQfm42QwLgLCJNecQ57B+awF
4CFNfJnu6fvJs5pb0gGxDAEAdEvWkuS0dfEd8DplaQUoRTdBE3/PTKTtyXWA6k3HczAlBYomMpIT
Z3OBVst7+FoTHjzhwdObi1abJ1An7nQbE/dK/A8h1c4XX1ktr0OxTIp0ow4GpiCV/tZll3CjzFdF
cMh1pSEbgER87phssOTivMMm6EnSpNdAnNQwvrFKV1ugkWX5dIUFRNl3Uz2Pl7WeAk92nZx+ERoF
MiHXjYBYW55TDDfALseeWrrohM9xpGtfhpX0vgjdOrqqAMM5KQW5vLLUrS4lFuCgW9i+Jj0Ptrkh
nFdf6NP5B02zUnH7YqX9dNY6zXhwVsAtKZhEVwaEzR3rOZheXHqXQ0jNQDG/gj/Pgw0GPmoLmGMV
hNAuJJaPQzOHQGJtfaIGyoHr6C+K6yZs42EIuGlE4QWPdLrB4Wou6OsE1HVnjQ4UkCYDvxtM5DdC
NYQ4/mOtpnlCkZZayE+vsrVypTag3mCw3L4QY8RQXY6K0loTc5GeAk7p1bHotA49LxEX/oBHykyf
UgXL2G/ZT6O+GAgqRMbBOiEhxX5tpN++kM/zT/BwsLKNIYSCM6UmZmWgl9dCO5maC6HjnN98J40O
w7w2XFyTS8rTTUMEz2sV/ginVMOawB6kBn3XdD0Wje36XUc7KKkOCbT4fv3hIDuhNfj2NuWAhgZM
S2XY1diUvv+ZPo7rsAJRzr6xpIyEVHvHVF5FIwk5u6GTLOB0fTzcvmASwBQqhpgrFYleSo4DzcsJ
EJzF0FmQ9eRbpAH3pa/n1/RSJam/flWY0z0mUeYCtNenWO2Ihp03saXxF4i+NfTjaPQepI2k0oBc
S+JftT3O7HyMOvpn8bnF2VXirXewTtXp0MeX5hLML+ifx6+K+ZmCbyKX7HacNXN8klz+lODMWu2l
mdYI43RSoTQfeEtDiUgPTTlcZ/nQWnG6nTLOxXEd0MADl9NhVD2OVmfv0DhZ1w7+01Cp8RDjqb2g
6TM9uNXA0bWFEuua2kycKAGygGiNZ6mbXdSms7vpQSrcaEhmgap0khYMTs3P0NQDm/UlR5TKQTZd
KE+j3+Q3CSW/vrJg9Wa59sVAnBYShWuGAd6Js5J73ep1wHlisenV1mPFDZ802WyWPAFzyZz9a5DB
soukNiRZxOIOTljg0KIFtpLBhqQ1grM4GdSRodmf4LbSLRTda214+TWEEcc+dIx0FX/QYtEJHYgr
pHOEDqnBP2zYl6czrznWshnXaXaA4Mpbmv7kfpZ9++KQIvSIq3PIN17iI6F3lJrOC64IAJTUFj+g
5sxoySUuxteJ6NLH3HHZMBuzeEAvlz+RSMaDRVKVdYyJSttnCJaOfhsg7Qogfke8RpsH16m2S0aH
QPI1kp1hMdg+kXysB0+LbI3PldA0IBKpPfhHjKWLBbqtldPOEsx8T65pWV+WRDnulsn3qQza+HLU
2uRWcAo+Jn7wQAe/eyx78TpX07r7Z8ajrCB45QPXCWsb+zzTuOwErc/8PGjxMIaYTLGawsS5N11y
5xgPjkfHGjQVWWNnhDyXmPHjRvg7Jjb1zTQwpthB6H+swP1GzUS03UZVKWPQ2cTMrJW2A6HYiuvr
2tPsL6Vh8edb3ljik5MGJnHh/og9tyNRvdktPkqpDVa6AdmyLLTLqsyAyngVPv2ld5JnBonNgROs
z3DC0oEa9dneM1pREE4byxdM1dQibe/Q6kRjHhak8z2gb6WpmpXSZrOwy0RcC1/OR9hVPuCFmddC
1ZDYq+EL/qqXnMScGJnYpnAXFk1Hs/ksE92Pkklbl9LAJCFK0hWabK4Kmw6Fv9zkAT9Hmfw2bo/B
So7cGvj+zB8IKs75nTxGfJsMrhQBwUXNEpwsgtPcEjR3lJgEZJRCicOcKvZB5SRS7jHl+JdBW2og
Oxo+OedlglnWo1XxndnsOiN89u+Y50bwwVa82K/LnLPhf98CwfEQ2eppa0dlHsk3ue3H2q83Qzva
l+Mw6GQXOySripXqXsOkaDcG4mPCBRZ4617J+1Eyq4X8z+QawHu3hr2UveNRMcyca/Y/fi2jxve6
71JamadY03h9ebSsLrpSiIOa6dT3au2g+GMAYKQkPNfEBF+ToT1X9nRluPg0Q10EZKiZXZvemI7i
twYjxHcd1cJH1iKbvbPdtaXkbeH2NnadMk06mj+jryvPo7lkuyeo43kXZp0z38da47y4qcHGCh0r
vxxbsSJ3y4E+oTUYycMIWnhm3yzdS3uxfEKC0brfl42mn1qSG996QQ8ToDU9DH7nNSNijX02p5Fl
4ZeCN3kX9MaDJbq1aycmYssFKX1rmytbr2jXcMdLhxl5OEBt4IUp2Kru4/WO5kyrXpehWsOrJatI
Iw6MqZC56EKPHNlq2RbRa6w/GtpsOzbXidLy3rVobd8rd4I9E9K1TVL/XBaIsHhVtcFCOqKfdHCZ
kXhoifEp96mWk/009mDhDcqNUgfkkCGDLEKoeVnUj/QeR5fhfqUF1CCemeqnAs3LNVETislLyrw6
nbuIAU9wKhlMXXH7uzPgjvRYqFR7pm9IG69HRqZkyqtn9qtDgnVnM0+etiuH0eF7oBGo6VxsdC+4
sGcZM3Ox7hhmZ5ElkmFn6IkRicWoNmKaumOj+mST9KVxrm22mA1lCL59BR8fg3y/6d2qeNMy29n5
qokPyC8qZD6dYjLRkEbPrvCGIfdNK+ebYMKSwLqmMBiAADJl1W+cCm8zg5/QlXN1mBDRwKtM4vvJ
HeZdzks0yrt03E424zq9t68mc6jvuNu8l+upPPHmq/Z2VWgbbwWm+PgZk6C8GrDAYLlK5xt9bpNP
reYOL6IxrWsgfXkTWolOATl1+zIo6ZmpW6syzlR+9dbURv3NYT56soCmZNmmMoMcS03tjXbsk+Ww
fHM6lxtiDzzCOxRpYxrRxIE7SUWgWiQXMc7xeVDrDkLbnvZuOrAb9sTTMWrSGHrNXXsli5JFWqXs
NpnLKDhcFO6YDWbnFEYDiBHkqJTd0Z+PUeup42+iWBtGhMeBw6GxYNCCeH/sB9+WB7zx2kPrfC/6
1UQP8b+RkfXL6YcPQnJPL4NjP6LMd5o1clL7IW/69lAyPgQJiRzxoYN7UKJqNpoL116PLt+3wz9/
v/V0/e77IW5EpU7wzuryeXfq4kheWiA82sOUl+5rr1XiUMmJ+PrRS9m/GlI5zq6bshd3aq1y//zp
71So69VFW82pmAecX+K9vnKWjA5Gw20OoLxpnS++QCux7rpgaNjt+4TElI3eCo4la+WNU5fN/fuv
8L8du487dmvL4M8du9M3Ib/N73p261/7V8/O+oujurumKNEY++EO/1fPzvnL4d/gFtSJPIKr/f9b
dsZfWHY8b21NIApl2f27ZWf5f+GKXNfjuioM7Ib/ScsOw8q71U1+CRJjn4gMnzA0431jy+xETXPf
ITJJaZkV1sJC0cfRq7hAOeZcTLro1D2y4fjU6Fk6HIEY93dpq6lqTxbeOioXCslLWgRZ6MWDtYlX
IJbZQtJJSHTL7gJ6dcBpa6KEgi4Pl0kbrxMoK1ZkzHH8MJm18+zW6rUEGpHwox5wCTv3xLEvd/SC
HqBL5FD5OT1vIBgy5XcMAozxgS9XeG5QJPi5b5yl23B2a3v9OSiMnLAdLTPPdT0WJylUzzOKEh96
Dj5D1yNX2PGm64qWGicKwzjHi6ltK6kFb6iwGHHAgGVoq6pFkHWR09C3Odm+Wsrot8sog3BZnZDf
L1RBDzISXvqF+08QF6cafTMaShydQiz+HhtBgFqqGnBG5nboWQN/UTojalezblEOuhXj0ieVL0Rk
1Jw5n72qX64gKwUhLoTlwBBtOfSjBKimDXy6gTOWPAPEGpJjUjhmDTKAVabkbHitmIQlAdY5iNyH
Z2u2ifYyDJZzTwhxBfd0sIxLquFA34+YXh6ZqKHtQ65pPAuGlhRNk85PK6t0uvEpRd/o/wchKJj4
VKRT+lUr5XTdYnnbf//9QNaIIysbiSiocXE0KRd5o1WLQmzr1eNOF0MNtBvzUOPDJc/g8m6h3PTb
elFDuvH6zLxMfGNA5TH0YMQugail6SEujWI5MMsW1i4liohiF1VeQ87Ooq3ilOK02HSYhY3svs/V
sEOUZT63GtyGndHOvg7m1F4OA/TN58Bvi1M+SBnx6RmaEKhwWzrYzj0KqfKRpm55n7ZifqYaRZhX
W5BeFuXvUsvEOwLoyjrVzpBcwAtKn/K5tbAlzc6F1nKziactODj0Du/U1SGVI1fcOosp672Dc3tT
OF0/ohKBij3l7fKyAFbeA18KYHib1tuIcqYNEXRUhMRanDY5GeRZsaMu6NPromz4WcFQtjtk/lTR
of2jcFCi8fItUR/yHFfBfJUtaAqspsiipdfjq4pDN1yzZPT3nGqNHfkf1mM5+MW+8ieNKB0XmnI0
Ianw94Why/u+sZ+dvhwuK0d/Agg65+GsujGlh7Zoy1YV5VWVxEtPZJDr7jL4+iF+ozYc4MifEpSk
wAAHX9A0LZtb6S7VndQsdzfOM5DzzDZOHKE4wpsdWmQa3IcFS9wWJ9FySu21qi8QcoVj6VifJmoL
wKsIBzexcHlQIaJsbF5xIUfPjEU1xsWu7hWn+KZH+6XHOVraUWr7rrXIBrGC/GYixvyi1kbnlvOj
uVWpIkBL9yQdnaQq43zjUwBflkGXDRHEDO9ZMVq8ig0ctDMELNggDSA1bv3SopGuXQuZcU47ldTe
3HLrUOfvoPQNeOi1nKPAAZwAiLJAb3P0d0a6ReJi0Z8p6uXT5Mz6dqHMvKb9KU6L3jaPmuvMe07K
jN2sGYnohlGxrm1J9TKgTP4/9s5sO2ol29pPpD3UN5d/ds50i20w2DcaxoB6haRQExFPfz4Z6i/w
PgVn39cYVXsXhSEzlaHQirXm/GY9+jvaPXLvTW3gcCsjVmccvth0z0J9saSduM2VkR8TPr938lOj
ylPXCHB0ocmG8ymFfW7pcDJgxeJqJC6M09zG5li7NXmEYipqETgNtZu/D6PMBrUEqHBLu7W8mEe0
flvKb+r30kVS74Wd3ILOUWe5nbXbRQNIMnDlOaC5DMr76FroCX0uI0jaPy6SzGRRJUL7th479OJm
eDfEVXUetdSbYmEzd0OgTTtJhsrj687SVyPKUYITz2vBHYoCBcvk613UYQ66Z7TCHbo0tO0sm211
dgWknUjzhBlE2J6pjO2ZDBHX53ZY3DsnWF9ozFGKMWzlnQAbNFeLvcyIqRcraa9xx+prORCVthPC
4HyfWnM1xE7wPRHwv+XSH8olxpsrzOE/l0sXcKaf5c+l0o8/8qNUSkDixKgMA2aRFNquQy38o1Qi
NOMvOnkYK+IVrwH44t+1EqO4H+NML/wL53hMEQNZhzxd3/kntZHjvxlIIdhNaPtiWVlhFO7fBpo9
lsK6zFR40bhd7GwpyxwExA5YNg770upGkM74d7AuIxQS6bVotRNsh8C2QFWaEV4PjYbethpawqE3
qL1l1OCnxzidkCpMHhGCm6ivDRLQnANAdGgGYInL9UiXN1dowzkfbn2J0js7jLJuwsvZ7+VLlS23
o19E0OrISSICJIwONXNeqoI+23Wu0fdWbIxzaca8AMOQOC0sK1ACpTkDMbXK+pVTo3eWUNY30SAL
ErlI9ejfEUdS3Q8EqT7K2nj5FnAYrjEqvLK7QO2bI4vXySd2eF/wEjo0e0XiR3EGiJPjrKdbmOGi
iG+qvg0f+yhadlYilqdi9st3Jhijg5h0QPc2R7BQorwcN8LDQbYZQa+fVaapTyWJa0+hDPpPrvRc
no3o8F9EEr/Uas3qIwCMLmyjT/wjvZqn0EPXW9hHvEfOfiy9tWCxaRXMKMNvpxKN3tbWGkvzks3M
QrooaTbk6REJ4qf4mxd2jWNrmQYKxyTp9zZAyga9nIEJ1rcJSREEZZU9kg6EGeRMpFZxzOuy+MJ6
CG7Lap69PYkR1k3etBB0g3A4SqGcywUb1/vcRGRjY8d5JwxcwFnRSdz68ehe0SZ1P1qkMPubsHe9
G+Fn0472n8AyDtJ0LhxzQTlFD6OY/GnvuO1Eh2Zm7GalNIQXaryakDaxJSbNPFm66Q5xUfMkLHpz
8nPXvMDcj045UQr3hlHM9WT14lKgwqGtYTDUq8mEcJQOaqaMCivGZN//DVzUn/Mri5kRLvzChv/W
b3qmau1wTpAd2rpzZHxLjQcfz1WZHEAG38UWZSkb9FLLxeztHDbly38PoP+X/HrHttnn/vOG+v/q
58/PDX7Dn6hlr3/kX9Ay/y8QCz4bGwoJtsOfsuvj+C8/cvAOw6fgpPkqoPgXtAy9CEdCoB8YX0NO
LhwZ/7XB2n+5LsIt+tEYImzgDf9kg33bOFq72ghGHJft2l0tkBxNfyImlU7n+tLzrWNiEUGAAVFT
tye+fP/TNflf1BNvZSnry6wJvYgYULm4b9OXjCMHPZvZOkrjMxEXjd55kx3fNJB//wQ1ePPE8Hmt
V6iC73qEZL0+pn7+SHwXJSmzXnrUjkhukGmtslDHO/eNTSuf6vxPFnjvrU+YlwSOvion0IWA+LF5
BP/8kqpis3SiIT1iZiQ8Ie3FeCkYXSD5tRpB7h5Jfw+cjjz3gDVphhqOakyfhWJBYdcHGcadeaYt
PClcTB3kxWNCGBTWqWRAY6mK4bJPOLXg80/OXqdmDa1k+FZqFaw6zW1N/vUZkcLjByb/7XkyD93B
SpviOtXIeNHlBu3OY5Bypnu7OTHH1vuecMFbRNHma8K85CGnGf2ASeDKnnSxX6K6pZVe20cD1vGK
gX4Yb3NGHbeuRH9pPCNuGI6VH1y74BhOM/QQ9Hm75sfOmLja5WgLGNq96d2zeCaPcOj1sndyBSF4
9ORF5IzieujihSlv5T0Tf2Qd63Dpd2awlmOPTpB5tkrScBuv/isZN80lBxt1mwiTT5TTCwatIfYP
Nt2CR6ISMHnsMINGuLmi794utACr0ytvO1JdWtJBkSWyzrdE40GotL2m/TwNUfdYTln8ETWne5dk
doI405bJlzKWHRzKBAQ6fWItSJ8pC3UY8KfQ6Iu9HMkpUwPUh359Y9dz3KE1yMRlNC3ThZ7a5SHW
pt5WaYHbyq1Ze6XJyIMoSjwwnnNHip+9TVWp7/I+CfdoYIbHJhLzQWDxo90e4plQImy+cDbNz/I2
X89G3S7DWXuRoRNgdGSCvNlLLk7epvVVXzfmo++51q3XFubSNmmM8EE51Ym2jm3tqqJM0Y0K696H
HXpK0Vkd52U95+iiIr44m75kMhw/V85q5jQZ2HBg4wUBVVzTXZ6GLz3G4MVZhuu2XqdpUf0FLx6H
a/LfYYirTVVlHxJpFSzSrj6zkF+ibW3UVipcJgKD/zZJgc9H3XhR4mICGjVmehvacfkcxHbKD0fo
i1C/5yLUexWF/V261O5lSNscazTHMFrgPkubuwdn8HzlVb6LNgTHR8MAJBis8apyW/N5VMya+GaD
zzhtqhssbu6uMuN41wejtW3H+I7coGKPy+WTNQ3eNcIWjN7ayGsrMkBSk3C5b9sEPbKTzAemZrfM
yz8y1xbusahijDU0fMluemnDApd/CjIboMlU0Zne6LhzSyK2SuxYWVPB8nYn2nO6xp90GS+1Vieg
KplGDJH1pHczwCPGupILhOMNAxC5ZFwI0e9o2cjyvU8XifnMygOM5+V9RGbQPnFklO0CrIsV+vuq
YFbe2xgFRyLqzpjghRGjIj+LD6il3ODEIFDaOwoTHR9kKYseLmszhoesWkx2N1cBP4mzbcaR1Q+0
hEQztMu7DC9o7G26sJf5RUIsJtQ5mS7Bo9vla2vRblOQscuAzeOhnBaL/EvFHvklWqf1NMPy0Tqv
mM9Mwz01Ytv0Z8SEV4/IsKv7ZMZvMmDFXV8sws5hA5aPUm3B5/fclIKQivI8UGBmN3hD6UC82sSD
0fPOFzftkXap4Og2FhJrVelC75o1t9fNBfIXiU4Pw0capvdaT8sLTqI03rTgsA8+oUgnUaOuwujd
6l0FLPnUIck+LxTD0rGZDBKWFfCIzGNhourDUNhGc+QcnBDIDVHs7T7oyCptpU2HxNI5gSxpmjyp
gf/Vk1R1b8jcxvTQWquDZF6aW+X53VcfygZDrXQVRa+hwJ0GT72bwqzO9xS64hTbdXJTB0X4XDc9
78+rZ+cAnaq5XQF21baKG96bBTebUE9rROQdD/WDZzMyxoYVYhsxjbjPGk4a5ByLiZBTAWiU+7be
/bcK/L9UgbT549+OIa6eiax9br/8XAf++EP/GkJQ0vmcwTjC+hSIRLL8/5M1wmGfGQAye+YANKT/
PYQguhPA3Dp+8jn/rhXav+vA6C92PFAOIT4TJLH81j/QDf+taLI51tvEYyYwIv5OTmwRSg1NTtc3
yrA5sKv57WWmMv2hcdTMFAGc5u8rwr8VntS3iCdsgBuUnZysfy2ZxjphkzAhyn5VDre2Nc9bzFnF
2e9f5e3kLuEjrbk6dCvoRLhvET1jIO25J073iDagOFtWn2ElBgbu0PX3trWwt8oB7UxfWndywV76
+5dHxP230c46j4WxBp2X7/gtKpDeewwkNBqPBN8wrlQLXTpcEPZx9hHNgB0fzlWpcDRil4dT2KUe
45WhK6xiK9Hn3gvE6NlGpLG+IvBqlT84NF5jWs4H7Vb8LDHeSFi82kIIgSkLo3cAoSPYjrHW3/pR
V3fobjC3q9gccw69hC6G/XkTcrpPiRI+SzGb4RjPHMzZAhA+ySwucEe7V5A4PByUw1KxuyqEkfgd
U5DasnumHqOAITNNf8tXKziRJzM9blzKslTtZergGR9SnG5YZN32Mk9t8ZQXODGdzOYPLqpAs9Pj
Q6ajnd4lMyMXDDSdLU5cKpQoGdNnZ0tr2/fOXCA8K6JPuhjhkbZooeMd2Tr5TdCb9lL4yeoiz1zc
aRGYGIBlpI3NEbmsUOjjjQxzc2U8VRxTuwH8SUl2jlGuv5XNmJ4b5JVnYe/UoBwMb8cb5wecezjM
SxPe8+1glZa0ilsXZ8lEDM6LxjS2zSKILcXS6g/5mIpHEjL5ZvqutY/hwsgICH167o0tgiPSRI99
jwF3mTr9wR74I9oe5MeVhXKZKiKs+wxpy1TTUy4RDF0qIZLLpom5InQ9OJL5zcIRiY4y9hMM5HvZ
pVRi7ezuRe9Wd7ipkw0im3BbumJ48VN+yWjPQSBYuiY7WopKsPWnnvQ9bufYGjl3FFN9EjFfro4Q
HKkJ2e9Oeu3Q7m3CGngqxvSDzGrC9y11ZjlpdZctTnUICUK49jm4kpeWzV8rmxyydsTh39RrNTM7
4qlQ/fyQUqdfJf3MXwVj/wydfrxxFJ8Yj2Z3ndKzwXjcBzdWZs9bVMTuPgQmgVebB+lcVSzFOW/n
rw4AlTPaPv5N5vNNvDq3fYZ2u8bC2LOru4nrWmUd6qkk2JLEVpa7kXNTC1M/Te9AKPQvAemJV7ix
9Qd3ofBoBTdDPfTVgQnB+MUuQ+c9+ZLLLs9qcyDjgxDBjO+RHhiXel2idavmr6uz7mDIMUChZvgm
MM/pM99h/ZPuBiYxi9LzmgpnseQEv2FobrL4mz0llMqYHhmvAXJ1aQYFT7ar6aul6fSQuaxNfKmM
11xbxDvfr5+Idp+/jn7UXXdlwKJULtkEOV8UI9PxwAysu+kaz0dhswQ3YGyc922BnndCC/lkIR7G
2F+Zw+Cm4slrAn1RehZt/Ji6lBNMnGzjdhHPWRzJdlsw/tgkA0OW1w8X59wEUkjrTumuJdShYLq7
xFp+7KRV3Wkxwlogh6PeOqOTnqu6RNmz2MVxxKboIOqGzx1wUn3paop6Vi3K5a2GBfDJKSpMbLaO
PMphUi3G0M1i92NcJYD+H2dOi+NLMUz+Y+G06MWPs2da/wgPxGr3nk3mwpXuF3Q7S+ZN/p1Xab3p
faU/OAwytyKcgOUguRp2OE7CA+swINDTdfHmCjWyNU3t9SQSBpWssHMfY+hoS+sWMdqdFUzXftM1
B/IZg1szMDtlKO1dD0GGdiy9bqzeW7FxGUIrk58at/ogA9/ZE3g4AZbTn4u4mfb+PH2pcrc5WS0j
rMnPT7kJMVXiIr4UJCzuycThGJRm4xenwO+cFfJCjX16IG3WOSehPmEIP0CWiQLiHrqM8zoq3Ssr
QYG8HUx6HpbxuVV1PVU8dJRNl6T9iS59vXPBAWzJQwlwF1fkizZ1/S1Dyxvj82ujs0n6ekvb8E63
UbGnYE4uSpTjVzIsl0OYc8P2ZeNcFDpV+wlXw8lovkhYVPbJbpEVcyDV22704r1YYHt2Htkuc+uU
TKOi1e7Z2BcwSBKgz86916TJIfQjjBctEmjmg2p8kd2yhNugTyyzaaAspJusHuej2xURXJblqRXp
cImrE8+ea0+nDCvvjrqAXmiAT3+nU/mCbRV8eJDxzOMBHh/mnMcceRPjvoR3docgytk4YwVuink2
KYvE/2ySWD3FYGw3i1epi1ZlOEnqqnpM0OhF21CF+iwBwrMwI8fdkgRxTpXve0xevP6W6iw++HCf
olPH/koyCpsI0VEVunmQF6m48mvZXSwmhVlFU+3kqk7uvDznrpL7LKt6ckZYgXp0gvMuHNQHs8B1
HkoaI7Fsj0u982ZLnDtDaJ5psAQnVzfmfVd2MAMdmRyVCZJTM6X6XVF5Zjen00oH6XygCHXDcq9m
4DtkjUrf828jCeVapNphuMqcDg1SfOiRheyxm5gNRgUixBOv/BSFWLhjWy/kRut5A6AbvleOtG3K
aB45Fs/ywl5OReEpnMnzDHQjSx7qOHPwf7Li4TnkJ1CApGAuqX+FLd9Hq7BYd82o4munN/pcA1NF
BRaQRrdHR9d89bP+Ok9NdJko+ttbfwGch0iTcL3Gz6urThrnBNQmQkSah8MFvEoPV0ikfYISlgj5
Cr3si1xnVbwtcUl+7Zo1is6P2lDt7NKeT4Zz/LZrrOFsYpLyuNRTwQieTselP2bypfHK0L5ypD8b
DCstubePCda445JXxH+RjYsOBFd7dYjyYP4MlkJsAbKudUHX3ypFbhVWulbsY86rF5aq8Z2nOioj
ll+TnwZvHi6TXgp/O5BaijZWQF4h4CeV27IAA4M+ujga2k+fmVNYzHE7Xa3fDfFYa4mELJXnUO2Y
YxlIAqfdlC5h241fSPtClMA0FYCYXUkeOB278Le2ruNdp630rqui9R6oKBOi1IYCDv6agigvOIOC
R7gxRWHdWaLr+LiFlx8mokRRUzPvg9ahm3znh6r7rLrJdLjp+ZIcmkXoGqkKvxdffeE675EVyS9d
GZXxziV3jDq5WWWMipimPWVoeK+IP8UoT8GItnIG31PmLrifKGwv68GYo29LpMyCocQ4lJzMIZvB
k8oDxKCbpBHWXZsl00PhEpWVNVQaxB121/Sd1ncBUcgjoxlWS9+vmzKBXN/GkpqkSCLKk6TvnXds
g+0XrwvFvLMyzPOSMvE8zNiINg3UjZ2WnT7LHWt6yAub786Bf4F6oBn0WUb39MJmnrbPp3nZvVJv
BMXWI9MVoqz0Wv4moXiMRlWfXMlHwOkFi6VR0GE0GCAyA8W+LQtUFcUi4T+gHwZASZ7OqSLM9fYP
h4i3GGvODRHYTw6NHGZIwngLkg0my+tqvQxH1bOXkOiB1qFHenIQWrEqCiBOSe5F32Y8RscCeP3B
ctznuOw+Lm3m7YuAx5QVkGc4IVW4mgfXf5yxw6BcQath24335Proi666rGth7eR5fIIUW+1sv0A0
pLiQGIzKY5YUwY3tkPQxqIY6ocaczoPbHFoFzM/PqaKGflp2Yv1mXXS0d7CMIOIEkf4GmM4ONi5C
Y2vjSdY2eAbqjUXUp2li4cClWduKGLBw1VT8EOM6vvoha7gDXmsk1Zr+tq379btM1nKpopBKGsa3
r1Qm31uJ/ipljus5yL6nnme/w1GPXt38kBkrwwgSuPUTEPsqPAc2E5EDDEeKi1RgabOUHNU+gEBo
0/nGxUJYooeLbUAFhrIZWYg/te6DSH2QPr3XVacoNHV2Is8ZygqK8OqUUkilO1syBtrS63TieUN7
zb14JfIgYFUwCRZqqcFe2UhpmvOJkeaAJmPx58DSKKEi5dCn1RRXHGPsI6celjaSpY/0aMkDbZlt
y8ASw7ZJwFO9dp5i7OifdTkhii/wJUwzTzWb9t4RzRCFXN6G08NY1E/RQN1ulIPPbqmhuQ26mCnm
i/A+QatSEMvKxedmt+6GEggXkyEOy95cnKUVQL8tKe31CaeHeFboZp597fBMdmsXlATdpoM3xsM7
TgAYYnub2PGFw1ZYA1VqSdP7CH/dO9lqFE/jWlO3SKC24JjIn/ZNreCp1QvydJPhOgRQeFm2kbfh
mRXdNt4wPdjORIu2dcVzILEM2T6VbedwaoFAaVZYApDlj27JQZ7sWZg/URFhx/KVeAYEFO+8eKQi
TX1/jLYiMNwjqJHw8SuH3xxtAwmrVav70NQbSVUOOhD1WpuzF/VdTzfEXbjVVbJuXXlTmkOgUTHW
jdt/WjDIXDoLx1t4LcllhjUGt0YElIlZ99nAxnXWgohGftfODzHmYsJcdXEWrydvgP/ddVNxLo8K
jifx0ppvMXep2aPx6h6rsHk3qwhq1zRyzLGD7MYBH7RpljzcOj5/aWutBcv6rpWf0DyIC8HCEPX6
HXgLRKn1VlWcZHmQgF/sOKQ+BT12IIXcKNyU9uLukbNzIl0PDQX4n3aXK7+/tbGdLltR8gh43QO7
lgSc9YytiVSPWaoUG5ynPSRiNLT4dHWkL0wW6iuYlvHl6zJ0FUdflndvH9Vk6atX5pMndX/7etJu
PZZPw5xpC5I6wXrA6QN2Z8FQnQdZDXj2ckrhwb0ey6zM4jL4PScKGj1c+rWBYopYH6qOg/iS59+G
2Ogrw+3WbpXOeAgsih5EnNE1sFfiFnA6wIQUHgn1IY/CCZzQu36aaYq0UCw2GY6dkzJ8IhtHIIdn
wy0okoXWRxrmtF0qO9h2kyX25BOvljlcvvtXpWWmmuDGrcLgngcNHCwZzvIjtm06Mcav+k/G82lQ
BOPSv2ToLfbSHvWH1uI2T92hPlkrjgwILtsaJ6kUsgwnZHQd9gYI1Qp3MwV/U+NyyMYSS8gSLM6z
13NzxFDpSlX0zFqR+yfLtr7atlnLFEyBGMsaHlK9tKvD96VZ0DLqVtBYK0CO2dBPLzvcc7s+oDsd
j7L/JBx6F47M6GWA42wvl8bLb2afCpcgtpHN3YKgIepEPClQj3Bq++RyidhnxQLDhjDffnixW48v
pKomZy8pW/cypCwaS+7pdT33w7oNy1TIC/IY6QRhWqDWqAb+eDL2+qJAr/M+X7uNS1+uTwEK4ycn
Zkn4ZpJfJjBQz7kDoi+a0LM6w7p+Kp/Ci51oU2Nw3ZHmV59ey4o4oTOVVW11x5SZ07vPYzJkEv7+
9dngIFM7n+Isv4nY8jnv07yarQAKX2YFPCoW8F19whXumaO8Xxhfb5MGEEcoqEB8jiHYz0uwdqEn
kV/yRSY05k66tttLg3jwMnApHpr1OyCGsHsE+cpMdjBkzzQLqEBgSfODXihPuoq+iC1qFy8509+U
fezTd5cvUmsQgWz7r60YzDr+KXY7MH1IanaMhKqdZDeBS2TJ6gAzhBUi0CqDJbdxwbH/MDKh+yRq
bgptz+LplbWIFWl+8IqUEm2kYPFCbJ8uTb09D3sWz+s2q0iFPePEri8GdDEfOU1pvF1us9ZxUnH6
Hzz1buCw/AHVkTlaxCOiXJQzF9Nme8tn7qMqAV9oh3NHbe2x1iw7vVMLfQq3Vk1xav2gP1+6mubN
ulWueWrAVLzqxsRoqCEKQ40jVmnv9QnPh5yjKvckSkEmeJG+ilbym9dH09eVeno28tY3bV9x45IX
ChWwFt1n2QyUHL00KJpabrKC8cmNG7VP8xxw1Qy+opMLrW6h5cQ1GGssSe289J+oSiB3TkrjpMLI
lVC3TEFxvVg2m+zSU04IkXp4TWe9mye+cB0jc6xcWpmvv3y9MTXgJGdjOdPwEiw8UwH3+qfWMLJR
WH6hIUFrRJPJDV3AaMyigE1mDljZCKQg3pmgMFddaKiEl0gflKy+wfUW4T6XHBxeG3QR2Enf5URA
5CWYBNVTCiM8m844wPGJl1NUl8sRyzY++5VDtnbASUMFjBdEvFglpvh8TEfxB9a089ark+CHiMjZ
g2SCFgLJx6+d/Ul4oiHlczz6Bc1h0qWn4AbJ8cp0BMKofba2PKH4HjP0GBHy3X0pyY4yFAdZ2nJ2
aQFiShjBF+3S9Z+mCYcYnkb1gS3BHH5fWzvMT7qfjUXrm0WysWoVIXDDoPj1zYI2qaLZ8uQR4wX6
KdmG97rjLGY7ZX5jTRxM6FZQiDozh6IK/urOppVxXlHzPJcdrdXXL/v3b+p1KvHrm/KCCJfQ+qYi
OPxvZiMZwbVugkrjSPRuz0JLgFxLtIGXZrHms4E57Y7Tu9lrz6M3kU402cqObxcvFCc5cLB35cKi
8uqQ3SANxJeuqKPbOMy6PbsshaEFUWzTj4H1fTz4HzP0/peTCnLS128f44xHs+TXyznAkhZZZo3H
DEbpOdy5V+031WOPgu+2XpuvxkO6PbMnPknNU6RdWs6FE8En32cv/5UA/0kCzHjxp/X2N8QRgjVZ
vdGrrX/ix5gSO8xfTMzg0seRt1reWHzfBcBA4//yfRuIPJR8okZ+whsBRWLAxY9HcHI8QGjcRj/k
agG/tZot1qCniJAM4jf/wZjyNdXn37fG+nYQONNk5fTE5+QO+XWBxdHMuGuy/a85zLnyG7KXFF/6
srhWP+7GsXT1QwmvcDxI7dEvk4zCghfyybr20hEBHb1DZ61MsKqP8bFsgCKsfln6g7n6MNiNVdJz
9dl3w03BdAbaw+zNPY99r5608XZFSb/yxomiLoKVbXfWwgRo9X3X6IhGDqU6KdyVqWsH8ZlHKdUj
5EH1kwzbmoo0Tg/tXMqu2GqZs9f9Yab6JlFoRfYkHgbQmP8GqH3eXh0hQwc0vAm+dnBG4Hc0WZTz
TB+wxVVX0EUTXlI5Rdt8o0VX6Pf4SPDqb11EHXye1lmyP01A3+xlvCWeABAlmWYGoQct6s0XFpWu
aoQcsi8OzU7afn6RrfYhkCDUCVZIVbpB4Qoce4MjPp42VanocHE46UT1DN5AM5GMJrCO5+iOJARI
shrMtOPUyFexH0fi4R/yIUwttQcg0IfXxlQOPwZhF1Hexs7kBIn+pxvm3ffl9nNcxK+za4btXOQA
MTfTaycBzPJmlwPNpgoy0tuv9oLX4z5oC0vcYW4R5t3vX+jX8fX6QvgVV79r4LCb8nq/rnaNHASS
p0q/eHzbjrfv6rTyoTTa3OHKi0r/ZpEi8PKNDoPaGrew+aL5DlFQ+6fwmV8FnK/vJIjd1fgb08P7
mwHX8TJtJ6oMv8wyHsLrAOfciHeGQVzknSMdM0H4Ty9ysD7+HDrtDu0vUkB+/eyWk1kRB0vvpZ76
Ab9IrzvC6Tcz/ifQDr+/zusi/GlX4TqzcfnEzK5BTahG33yhLozTqisC94tyMln4X92VVJifUg58
5TlYp/US17h6pj/htv62ktC2QfPnP2SBsem+edJ7Qy0Hcn3ki7KBEhNtENXxfJe6VsHV/f1nfCNS
Xb9CEHMuKtMAJQJbxZsLWgrhVAs40C8SRkgTHcFDtR9qd2SP2o5RlmbdjUoMU/JLUQxtaO+DGUHI
QymjDtcdZJBUpTiT8LzdliV5UIBo5tatLyu6fLE+4gT1sWX//k3/7YtZI/MSon/4dqjU3m5oTlLF
LgHs7Qux6APvYrCSqvw2O9oKPgnR4DjdkZApxj/F471JEuViMRcOQmStnDugNr7dtlLO56obAusz
lkLHBSwTBWRObQGi5YO9dbzalfWR26SKnjVJJwqx6zAMCcxVi5nte3jJy9CCJFdm/JwxNEtIhA/p
n+Cu8yki/3CV4re3J28Qy856mySxG6NZ//VmCTKYG800iM95XBA/uimZjZp3MlT0RTZGIzmczxLZ
yfDaQgHB3STpxPIwaAmCYbNMKj/TLyzApvwWSkao6+MPwAYOXIdUk2/fN2A/7dhdAjVl4ScJ1ymF
ettEFSsV35zk22mHMeQxTG9n5hvByLFu0ZbMc17Q1aqOb6FqjuqRwAxKiA0M1pRr4TILYZNHQxH2
5cH1QYosG9AQxarW9ksiX5bJKZyNN6bSvOP2TwJiLFqWJsfpkvfodGXSTsx4JudTJUVXtnukGrV5
wP4Tze/noQ/nO6YuNT+btyU7yCbPQ8F35gKA5aXpcxRY70qvs7jRkc7Syt8Iu2RcetD0T9tgI5fS
XbUxTpHyI0UYyQZi8Kzy8XZcooaHme5VyRYsB5gzel9mCS9tFUvCjyOVXl/NIpEsvPaSqugf+7jA
9pL6c19c1fB19NniSNVe5L2lp/NJTYq1pGLQv3pNDHH0RQz3g4elnY7rM7OPU5e7Ddj5KN2tQBVR
VccfHyAox5yP2kZMMcqdTdgmFzSwW5afVNm6idVNhCOK7lAa8q8i6jitbmVXkcj34++g8QlRjjZB
UORblpxY1MbLTcA1mLxC89Kqy9kctSf4TNn3q+rTZuTKBXE38QPLMubVeVsPE504mnzrK3pWRNXG
CSvksnREKPDx2OjX5SKSkaeWV8FElvsyDcvmjs6ciKJD6aHIDzcdCGvuqblNElZNRvOM78xTNn8h
/n4njQ5jNlaxd275qtAvfaNmrqFQc8nrB2yMTnof1+jzyp2JprheGHK0M7CIzMByj3elozx+T4dU
i3yIMulCddXDPGyzvbCG9XuP3JldYA8YCtsC8990Xb8DpC9+hWC29+bzRM4+fwvceJ9bYSrpl5Z8
86DJqMOwzfKWNJ+e/3OZYPiUDGhzLCDbkIAI/aLjvmKleCbEqDtjpuDtlU0Rr3UboR5VcS39mPWP
J4lfEOeLqgKjsJ+s17ifG67ghGmXy2niaF1zNSWgfyxHhbLkkNnhukTX0np+38Ut/+yduOYGjsqR
vYHS0VBl+EvBfa4HjYV0Y5g0Vs9l7w3rLe3jSyDvESgC30QgqRtbLP+ON7+PigpJwD4XUQeuF/6I
LJsrcO8Of2E/SBAhWyTw07qqvaIYRlh8iXGCo4oJXR92pf0+yVETzDsnZsbLzpTXOcf90EbbXSVZ
5x3GSmc+NrJ8pRRloOPMu0BrxfKPJQYbf580KKxbCoVFhARMBHM1bHLUxb1NeF3pFTfCyYtVMreK
e9itEObZzgFHoZytE5kr0Ls3auhHAd68BrK9XCCwi3iPqYV06qUnSlAE+CsdCOmYL0oQDfcJimG/
vRZSJCpGzl74S71nI2a72Y9eVuqeSGn0J6tGK4zpZKUuxCp65+UUZNkmrthmwxezgHfP181W85mT
UlUGqe+A5T/PLiuRT04E4zSR6+IpynVLiej89d2hAt/Ar2xiAVlDZPT0VXYhjDD8Xu+C9oPLGnhs
lbInSwg65aoMazfKpjHVX8sldNlyyxaHobcGzgOoxF3YLPxdSW+vuyAdkISVC+c6HeeDPXYLP8kR
BsM3g9103Zcqe16dGTR5WUig0zK2J7rtxEtcjLnF7oB+L+JecNxRsqDmfvC0OPHt9/j4Y52x0uNa
Av+6yJU18dK+UyveP9sljyM6jxFP+SYNyKTYx369PmTHcepZjormsrB4KA+a/UHHueXfKFsPHTEA
ugFK1/UjZMp9LAbshqZx1xLLRlOtX5qYjJmrH+cQdv314izoH0VyVmFMITwvy0syZE5TSToTuCem
qjvGhW269+0p7e9TBJL0qwUPf70nLSDiHUflYnGVRJNH3NjY9ymnjyD91yv4Y1k3BahvNhlfeCxc
UyD3CDehsNbtXloxDy0HfDTX2Iv+h73zWq4bybbtF6ECLhPA491+04siKfOCoBy8S3h8/RlJqk6L
m9Vk1H0+ER3dLUe4NCvnmkYFitgCbERN5qcRJcxc1w+FBwaJKVx9ZScsu5s2yFSHgnSxZvnVKMdc
fTSLKb8LoECljCE8s8ipKWsQcHrlff29LthjzmmsGu5lyJ0666qsk+YrChG54NpdVvkPl/hQdVug
QFGPIyLw8XoJjBw+vpF38NcdMdba9KMMdMI4RJS2342j8Icr1cQhruKyACq9cHK21W3od4O1bvhG
ikV+8psFg/VyUO6EfRdMQEr6RY0z3BG81exgVStj7r6gTO7djzLvZpfI2cbNkH4ic52xqcIsjxYA
4xRK1bGL2cnytYdBz7KQTIKXn9qFNoD0OeKAsF9hOIkC3bTqHebvEcorCrTlDm5kXLHxyc47a1EK
0IJBfWmtZ4sVDqf+qGuDjQGzjUh2XHnJvBR5dIBo3G1IsxmX8zAoTXNvjVZs78KaTiJ+WV6+JOs4
dIRxUyNxc+8JUcEKf2/W3lw326Ayp+lu6ianuzTwJzNuXcNtl4euZFSvsMCT6p6mdEQ0dd5JT9V7
fxLRMq3MwavlJsBDPNuHSZdOu6VyfUwrANscG/aSWtrG/2YVqV/+iO26GqZNJru5QdolHJwHeq+u
vJXttKIjZyIsG+FvehpaudyHhZHJq8DyjCzbDxKWUx7/jLHhwLqCriVM2WpjiW5eCFJzOseIrpTN
w6Q3v6tvk9QXad2OUVFVGEaQYsW2BEWRdIZ7koXr2t3UIXRY4lSwpaZGmQdPUI2F5siEUdOsa83S
UEhT9jQVBr2tBCwkTO7G1+WjYgNnOqDN1iscFhm6wkww9LTCXUrbmGwNHgyOzDkGLgYlKYEjGMZc
Io9K2WW6EheKZT97Hj9z14tKV38Y3euTg5da2mQWwLTIg33fFIn8LMq25Fas2vCyYA+SCdZQ941g
mRQtzfg7P0OHYe/pv1IF0zTUVXQwjzVrWepjEj8ihxrDkT28aIW5HSzSmZxD4MLeUgd4bg5rStEX
MIFX1CU+eJMQkFJYEIvcZo8eoZJTmowzSK0OjCFzlD5mM07cKTC+x7V7j7jq5SMM8oY/q8Jg4ocR
qxwyl1pRoSXft3QpWVEy18v5K3ZqBdxRGdatpR7hfOp6NQhxon2wu17Jb+PYlLjo2ymd66hKB7bF
rqYxhfdK7emSJQ46/Y66qpSd9as32hna4oj/dU/L3CrBDVB2hdA3VoGpBK+fNXzWJdIT3CPbQu9S
v3cwTHl5jxkMTFY0iWUFd285ocGLrCNImhWUXxwif+W9wYtlmUn1HaD1jxk+f78JoqnabtXXDiww
gglifmKFrqkgIscqZx8CgoH5RIJ+mjrgVhRTKD7nygJ7ev6MbJiW9cDxr+/u/CaceGKHhg3fqG8H
z0LmFmXDGN8sY2oixR9IM0izQ1zLqBiPLuXocLd4tq5iraXW4BOo/JDER3xWdVFhdogqScCxZ32Q
92XDYCnA64gHSEZTeR30FZsqJYIlxnY5VLVS4mDWUTv4N1gG2FVyIUMPutJhXlw9DxyHfmuD8J4i
8w7Vup4iuONowKtMG/4Ckg1dqFk5R+OkQVGIGUDYk868b2wPlYA21NS7azwMEZtmD4+dXzkOPWGI
/krXm53U4zHMU21EYvIG0l8Q+Ep+we/rv01VopabMYdA7G+smPuy13Hs6dIQvVGki3mn1nf7PD1w
5uG74E0IYXCvWha+4gKG4RB9HfwxQuWKj1TmMathjDBMk5maIN25ytVjNy/h8F7SLI2GbhPlsGp6
OPV0RChqaTfybTFJLbhWuSgewawHZKxpa+nSOhgqjnyRFyTqcVB94hSrNuvrjsVlHl3nwh0hjZYr
0gAZZ4Vp60NgWgtObKY16Q/SutBrbjh48p27Gc7IuTPanJ9Qas/TsJ/gMWePQ2xNvBQCZHTlg2np
QK3RVj7umvtkCjIKg98nYn8hO2nYTWS+cvoqowadwQ4RAcDxbBjG9J0kl2a5QQVjmmsnJvpHt0hU
1BoHX9ZOfwfVCE/YtTFavH9SU/WhmxACXYWpydKHfA8ZBL8ZYZw13IW0jflqXQGgW20m31gCHB9w
TqdGCUSF5JAihDVgsRrOvMfGI68MO+ehYDhJMjn4QSpc9FJZsybLQ+2JCe1h6U0M/YPlW8gf58yn
jnqeeuWAwREWnEYRlMVKW5e2zaYbhlYPDLp43KYROrMekrDbxvLadKepbHghiz5xiwDuOrkhFqEg
2YHTMixlSV+f4nUe02gfxuXUf5DEMLZHv8c34+Cj+yUnvsfilvqAkMGBpVOSIcSPCVxCN4N92pS6
EqWfzSqOYOLp1DhlEbYexyYdLBYpCv4e42WQKzvfImjQp8Dng0UeLvqmq2UaSZpmls2QIjp/4cTr
Dn7KQOeQhPgY7klZ8kkTq9e33pfEUhXbCSvYrtvCLnWzS68GHOEvLjMjCs2OXrA6PqMRr9GNEzi2
gunYLnQGYqfMHp1q0if0+XnlCKZWF7rkHehR+TZq9A+YEe4CNA9p6NCqPQVYfVyUxzDIx29T2Olz
5hAbeSw2hkuyd7Bqe8XzvnPJU7gTmAopm8BQETHW6zgDhAWlb3bojIUcdffmeWjkZMSxdb39dK8v
pW0VdEwEDSNaUyfIqg3TfRlAJ74lbqjXp0q6zkBRyGLN2vX2tZ7QwD/xYwvo2LMctGyug7rhFKZs
TavNR5Ts3yan6DnI9LFOlFqLDsLRvI4VSeUYT8uKRaOH+IBKvR9we8nXdYcI5AoUQnc2Ao68eu15
Xpl/9z5KFekjQumJlj0B7dbIr96+/VevSgsLKWwtvCYsnCD0n//hATGpsMC+yROP+FVP3AcblD4W
srlyhHr7Uq/GHPRVJ6AVRCeIBvcp3k0ZRaYQBdRjEPtOPx/C2U/HB2vx9BSRIaZp7w250xYKFAQk
krYtuKawXzlPqKZ1/Aj8/rEm2ZCf3k1Mtps+YWW/jWyCneZNGFDvU0zM/Ppnjl5RXbPaEf739rOf
vma6pgLbVN1VZbqhYHv5mseymwYS5JyvYBIcHWd4QfN3H2sCVsC3r3T6lm3hmDwtvklcDXDspOeW
URj6jpVaX/uy8rLLrs71BpWknNQOQ2zrqvHtC740sKRpAncC2JkmLwpIiqaTEQQ3e2ExmdVX0tU0
nkwqt17mWBRnvmuomnxCFp5EcxysvUzE7Ixv38BT7MafM5BSC/9vE96EB2dDOPbLl8spMc6tGnJP
E5tzVG7pZS2IJBqYpun+uWwZsDxiz5Ouq9fv36C4IcgRdraF7BCkH8fnl1Pgl8E7AvqfmcUoDB1O
Cws0KraENiP1s934TodKfEWGV8dq7Y04nwFtzH2FPTJyRyb+ymF1ohbpPMKIv1uI5ccn36Qy3ULV
SuzumNBa9pdNlRm6tmpR/LNYGMom7hs9RqO3cyTf1DZe6+gtvsZhltvyngH6ltKeVTPLbF00pXBc
9fZqW7pYDtMiZSUxcQvi/RNYglzhzB4mbPnP4zIDln379b8acKSh4GwjPGxynddDu+dkERvmMn+p
4gbf/ENUd/oIRDagrgB+Q9ZvX1LPlhcfnKUWozF6ND5cAE8zDv5ctGiUIelt/fFLEOG842xJQJPZ
pcDoNTOuzNbkDlZujh11vZssqKqAsGT28Jtv38bpkzv4bJmsnNpyhjl3KjBGhFSOfMv4S1YBf54l
heqKezsbbXVht93V2xc7XUHwz8FoBqRIopj2XXEyyCX+3eSSt+3XoanT5UGknh4WaVrryurtS9kn
U5qf7mOe45NXRefNQWf38v1GeDPmOSrTe1IfcOPXbmk4oEXAqJx0kxQ5Kzaz1VLwPx6ADeNyQuD+
QCkslL+qgXWBYDjy6P59PTo5dai1uLpQTyBYfo49FoHvcZXGGtaaDA0D+J2smISDLzVMjHEEf3sw
MMkvsXMU7EUwi3SnyBoKvV5zIMhwMTcM1tF8V1Zm5F6+/RJO3jfvACm8YzJPXc953TEVIuqCQvbT
PfbxemfG411POQPVwvLw9qWck/GsvymLF9QpLJLA9U/HM0xAMFXLDe98t3q6Vi+ATrMBi0a2JpZ6
lqDn3nsOSYe3UE6lRkl//0oNvUYIjNHk5QrX03gmZ8Galc4u2hBEwcjS3lguWqYqDO6kLrJxPzs9
B6ZtVoYcj5OFRW3Y/W780S3STSSDwHLmzuKbC382VIX+4ItIuYrx1B33nqGJwQIB7TZQZ/WXJDIm
4h97Awt/tSGzVgPLv1tozEjGbkrPg30vDEE5nNVsFSMQyNuv1H/5+XBpIxAaCR6EJdzakX2eDOGG
Jxh8FFLfkYR7n1NVCntn0x49yMxHUIcje7eL3Ck4R6Ofh5vaDcsDIs/8YYgSpBk6u4+maeSsAtxT
2hWO9M19yPm1vcknuK7r2B+whAnSDwWttu9D7bb1Siq86df0cuQ1bM7qPDaT9pIdKV44rcck3Rv4
Yn5a6CMPZ6EaU7GqcYRxN6CG2YOxGNgZdjkuKus2UDcuu1K2c3PDufRmNWy6em629MTzBxRZ7hkm
tnQJ0hpRBpvISAuvs/KvsCbE+TxFsO/7pTGtjVMr785mf36sidEgTFnJGAgjIvPCTsuSdAYHIZaD
hhGJoEHUpAFu9yXrA+KLjFp9JLm4pSwK+0OKUnxHm2CuYeHSXEZyHSTGqneL4SxHKteNwQBgE6fp
p55sOlDzsCfge1TV3ZLikkP5acSgfYa7NqX5we1m85s9d+1Xy1vc+7gXZCdNsjjPvDaBjjwnz66g
/5We+HKxZkDQVmYx00YaLpbep3Qa8s4zD7et8gffizQqomiyrcyrDhNoZcr7d4bfiw3q+WIeRDm9
zVPDnVYkIXxzzuRB+UOaXgFHaDLvsKGxEXAU2eXgOj3nP8ivOCQ6WLy8fe1XI//pMeHq0LJhET89
j/SiDSoMvYofTVlycHXyOpt2hYOG751t4ukn/WcbfnpKl0Q+6j747U5weoicbIKZBrgyP6xRC7gc
W8eHVhx4Evy4cu+2tIvwNmlDA8+tXAT1xhkgo+6HRMjNlHfQviDryWslVXBWGo13z36LPBNcsXso
CooXGz+IemV3lvsByV75i4BM/6IEnv2A2s3+FKScU3GotEiSInnl2ikCxrHhFRL0JqMXZ40BwJoK
5h9pFeEJ0fRqhxbUfESN5KwXvt87tdAJCY9XossAyiDei8MefVoSWIbXTi7+Xz8QjPHyY0SYe2Kt
c6S9E4lJQf7FMYJp09sRTQ8UEfKAHREGbW8PAaFXtxdfBuawPtVBBoQ4Jr2TAsnKwoL2Qez9iHoa
B8BpCo9J+MbBpqVLgt+GW0wHjDemHouCuqDbUxWHCtzqcqjlQDwpQojrxYrcg7PMAGcKp6MiAU9f
q8y4TBCVozJC3uQUzh0YaH5dGXy0laQxNq+XbqLtklZEkHh14N1SNhLTOrrJr1mmyZXjoaLMQIoP
CRno1wXSsm5ThW3/bc7j/h7TmOyDUeKztpKTNe4cu8MGylFJdDfiG5Ou48bkAeLJClbIImgBeGmD
8TIx4+VHVxj+BYIq95MFqo3mPMvE9M6w1+/u9N1i6MJxX3Kahar9sjgi2pX2mumFP5rEFVfYBKQP
NX4KmEo1pXlljdrc6u3PecKsZlRh8qNZt/CRHCh4p/mTmPPmqmDr/JnWqXsGbIYpSNjPxjlAZbqj
EdGx0otI/agdM39Ioqm7SJLA/IC+yNm9fS9PaSIvH59Sk+XTJq5A871PHh+luWj9qCx/kgSkFTgh
6ciVWuIBv/YZyYVpI4PvC52iRAAiObxpLMUhhg67AScJAkQ0BkJkVWFWlnT5oKFfIPTSaOPLTOKE
2zjOdIWzQ3SMhBeROuDpPPl2tmy0Z7VZEPVo+RWhMIuo9wavZZdmnXGJRePAXxg940K28XwzTyRI
blKR1LtoZPdeV3hRXBS0eakonQLPNeSkJZSSMaWHS9PzQQwcTalF2o+dPZXHuMgdtVIedBlGIu2i
tQT1u3GCpKTlCqOOlOiJvlIn8zzCD8erL8cai/tVlaD9X/P+KusIOWVUe5PkpU+dqpLP2AN2v9zE
Jku8HVLsxt7+Oq/XH0ZKAGkO6hpWPa9wPcemE5pNY/aT1BSTwOoxSL/B8pjpGvLJOFN5P5a2D3EG
NL7NQzqWsEeH+j0Xzn8asL6mILP16XjY0wELU6ot2sXLf4bIrfvN0wdBCxLnF0kuu51JGPcdwRf9
bpZ4GiPnnr7EeAjUjJPFunvnnfzDhPVdjS2zdGg/JvvlhF2KfhyqKUt/Rp4pPzbSam/t3DA2HsDu
Oftif9XnTXdWu2VxzCfHuuxKj43sKZULMakPIbkchwtCoZxfMOcbEgmbJPv4zl2+PAPoOS7hu+Ii
asOZ1sG6L+9yKMK5CBq3/wnq3UT3VBaiXYMkzqseH6srm6hMekrtQla4r0T1KyY8PVstoV2Pe8er
2gcR5NGF6Y3Zva3cng4Ju8BOpSrndUcp6smGdu/zePs/ncV7OovApb58wxhYJUyol0KLp3/yt9DC
DDCEM4XDKYViwdV26s9CC/JOMA3GMdiEzGH7OMUxXP82BvYwBuZfwTcBbOFPuIffSgsHpQVWcSY/
TpNm0WX9C6EFReqLPU6YoLTcl46kMbkfcO2Xg7FovLadMjleWEkNH4fj+UgPGNoHXkPmeVUPvl1Q
Tnl0yPeZTSCy+amjErU4TdZFe2cXbreolYbm8VBiDNZjis9K2dT+RxStUFG7NebgNE7W9Ti55c51
Rpy/cN6cD6kxjrRHOK/ZxXBUPcDN0BJI2JddfVnmM+r5YUg4khEugtIyTKczNpTBPKYJGuTZJdIG
SmlNQSk/kwcz7Mdq8KK1OQXYvaT1Rar73wWnGbLcBerOWCb4K5KsM0IyKXCUWrEQBdsRsGHELGrB
x1fmkkDKbBCPJi4wCEe6drhMMNpWWzvW1QkHcB3LjGg/3+MYle/hMmDZIYIqOcoiIqwhoAUIy3I2
8Ug1DOJUZD13+w4DqZ5jNgBKXLjZoeZUuEsX5dHSg87T492VhsTJD+FAWF9YfoH4Bd9CQqHZc3JB
39+2bGRRPRNbD01tAaEs4NOJZvjcKXd+CJeKFquKmno60vKZgDGU4EHd0OztzzR7m4uRLJp9a0u1
da1s2KITazA5sNTFCGe8xgTMG7cmx/V6lWSjOBLR7D0E6TxdUJcF7R5guel2cavQ/Q8M9Y0BtG9+
aGS2xTqhLPZOl4fs+WICIsWUbZW0aWqsxVAMHr1xV1Ubs3c5CcuhQK4axhuUN72/s8dx3I7kq62L
yB6g4todKSLkddRirRsuv8jPNR8XDPJ2mWA27rTf7tYs3fmxsHA53AWqEHtypeuPFsb553Bi8s/Q
euUqNMEr1jW0zEM+xJG5sZV3XRQzWcA2m5GCxdisaxBlBo01WQPGPnmzm4do2tLtDq4n0dQY3Sqo
NY0bnZGZPHnY6BcZjCVH1CsR9/jjpkZ17MLUPnaFV2xAT8OvzAYFsgAf4xu8dQuH57Ybsn3UNfZd
SPbmcVSFt7NzjlSroAzbj747fDdhB26GGag4hEVVEHc7J0dqDQfVZwTJdR0hcbwoJJBAFgv/i/aZ
3sMWluFKsJdaG6zuSSPFAcrZtGFzh9hcXTUgOt/yrkB710TzQw8ghGEEXq1EKJlBuqqNBaJfbbTX
czWVV41IU9yaqxTzf0iw4Vq0uMpY2Hbcy6jpYIYFRC8jWvzU4UU8geWF+W3m1vYaZl+9Hwjz6yqf
ceiFLo6ubmZ+gKjTr2foUMGuKl3qO2IYrfC8JjQX2mFXXyttKtVKM/9ZWtl8xAK7wgytSVcDKaKr
Muy+p/AtN848jmvhJ9Bcc2rLyrUf6dp+ErnCIiGLOGphMOcplO7Ux1E+rmp8cnp5M7ZGGHHZTMh+
Vv+3Kz4b3L+zK9q0Qtkp/vu2eJl8p9HzWL4wSn3+R3875iMzRIVICURbCXdTvfv93hgD8y9EfxYd
5ADJjEBd9r8bo+v/ZbEhalkiLVg0iNzF743Rtf6SgUDjQ9dZO9B74t/sjNZLZByVjmM56K2e0HGO
2KcbYzMZE2O8tc5LqDMcKoaIwKeDEqjYsXQpJT6a8VxUF2lmIQ9MIAEcsdAh42oFf5ek1wTVjLUh
K9shrVpg38vgw0fcTc8j3ZpbIcthB2rKFlfQP970zfMJ7U/d2ssqmDt3TZdja0AdTCuS2vzllu7D
dMhDtahzdqnp1ophXIkRawY4eSbydp0X/vYFHZ9v9cdJWV8SEMJC/kfTHy3g6VHRSHIIJn0VnUsZ
XFSdZxAkN0AT2KcQNxosLRujOVjKxK1qJNRpWvfuAGE9kP0Q7oAvrOoYerihrpbB462UMuwJUNHx
9n6ZeM4WtcB0A4HeustpfS17MFxiGVvNrIkSUs6IMgXvBGZpimWNdAU8lQQN3rUhB2JadXYcqUe0
vssa/mKKKjQhCz0coi0rFZmxz4mPo4Q0sJZ8kWZddG3f486Mp8ks8SNVlsMgoMMhHpWDw+TsGsQf
L7DiyT0mFWztRckcbbGQGaOtpe/cJBUZu8I4su8sTFKWVfIUI9mqtPkCeky0uxy5jclO/GkL6YDs
+GEk7VZWdhNfE5Bi2aunoGsyq7RsFYPbhWBkA4W6ncZWe25XYAlXS8ZBeCe9WdafbSwp4rNOtYy/
iFyZtQElZLhdVIntBGKm6VPtW5PxFaSFN5dQ+BFi3MH1P0KG1hHJKuMfoRbh0jlcYlzJ+oy7s9OB
HWMCZx5WpHCnsbYAItO4ItEwhiPzpF/ISvGYjlH40M+S1ObnvHmYTMWmSeSHWGJ+ujbbhpeUwIsG
aIfc1n6O8TitD4Q2FAUE7oxoT5E4vJbEyKnKJoGQ/eNMJu2yHui8W+fREuTx2aI/iTeTAk7CWMb3
I7v5PEBUQ6hw3pHUswzDeBlH4/LB8E0sA9OJyav9vXzMgxLiBUmqYBLmmFMSMSC90dtUA/Qg9BPR
JhcNiKU9TvMdhgbdlSGCyVsXaYgvzyJ6rDVpf13OcNofDFiEV+NQ5zdob6NHG+zrUJHO7a9hQHiP
ml74CagGMq+1MGTjEUR6GIdO5yyMvHHkpBnhzVDccaUC/yC4rGm7D3ayGJIN3WPYDIpoPgIIC6mu
zY72264VkVHm66JvHGvBCcCP0SynjEj7+1hMfLsEut/4a07nnqzS2oVfX0/jdJsUJjYsgBjJuooY
Iy2sKbD4Cl91GEt8njwzOAEY4ci3xVoqh83iVfUX3gyTy0tLJmVWV2O4a02jbj+3oZhuMWZmIhgk
8EyHxK5tuc9w0zgXeGnW5OG2tImHFOeoNLSnG9cRzaGPF4pKp4RCs/Iqyv6t5My+rCxmW7DFKJr3
AtQOit0LVZ2XcWaru2xZDOPBgBTbXHRk4ShgH1wKd/nssPwugDnBfeKaRXYbDuibcC5TzTocMINf
BpcFYpkL3qXCxTZZT+YIYhsEES8CmEmRhOjj2kw6MrOnbuB/r58GMmx0PlyFy6LaSFqUWFAp7FNW
04hxGIt5Zd8lPZ3LtW/5sfyM8q23r9MQSi/NeCurvnvOaF3F0C05apAPjTtrFqXAsWGk0q/KUjDg
VqQedj8c6PPZJ8UKYdEvCBehrgm7LaW/osMTwjwgOoMjCIGbBFMwnM7axuObd3Bdr9IO3+NPPmqF
7KfwShthOtyuKNwW5mDb1wX7z0ImVY+z2DEsbb/Aw64iAPcYQ55QOuRzodmZRCamvgsuN0nkX0H1
DT6LoQ/X1WJ9hK0+jWurqPp7bJmNLQYZ8YaBoXO/o/jo5EGI43II0lWQaw/L15rFJvYKcTDQnoyY
N6eNkXyKYrdvd24tZJliozeHJYtMdaQSNB9aQQ3pFCbaBtKjOoS6q2yGbZ/E4+QfrMyOvuVt6P2c
IidEwa7K646Y8X5UzbzNcjV9kJUXfRXOUG4LNqkNvo/OLYzf8qtFWPHOLs0IjHopxMrsPHUTROQ1
eDUsW3LZSV5M6ii/t9HArgKz7XY06HD+H6ZprXlZ26EY62to1MWFwAZ22+Nn9YFlvf6aBn0MQTu/
Gek0pXtYSO6uQSGoadol3Y8q+YhoOr8fC7eNdqorsYBkA9vkWbOc5Yhcd9DAaYM0ZHSAxHsse4NT
3bHp1J9LUdTxJl3acucnZvUpllK/2gKPMl+KvkRK1pMSKrHyjJKBsOrQa38lylObvHfdg72k0Y5k
DfuK2HvP3dCwLdE9zZQDm1bZw3nTFtXez0lhWae5Ux29eLJ3kbA+pGFV703IjRvFM37Gtqke2aUG
eSyh4w/bufD6q6Zzw48BPea9QeW/E0Yg10ZqLP5uniXyU2DYcxbs+WCW5XwcDSs4Ll02budWqXWH
yd666ecUV65W3g3JsPwwzTw9D/xgOVelIjnz7QrlVTGHJT8Sdc9iMSJq7jT/qKkKx09zTJWmrlYH
GuH52hwdNiHXwJwkxTUJqUf+nqxZA+T/AdB1VUQvUiCo16b0tKl11fQH447YSPgPI0nvDUZFX/Cf
ZmGooQL67/QBXzY8n68DpUBSLttw/MwToH4gS6Vvgyg8czMdVA2zjTVbe92JKWTBePtV/tPFPJQ0
vE5LQ74n6KXFHCY1RAZnUD+CbaU9yTiD5msDAdT27Uu9LmSBuXzeG+flfyD/NIhra2My5ZkjZ+uq
1F5XYsRSsPWRJ7Ue7pD/+npQ+m2LYWJKmDEnTAJ6DUzbvBBnhMSGD89bUBlrBSZ6EaqRNpl5vW9f
8yUYrL+dZq2adJcckqxeFetzEbldoDr3DCc5qisPf7eEsiRkBy5pu8Ju4pjvrMG9+P+mkbJ9vH0D
rwcpUJ7GAbXCyX5Fn+BM3phTjldm30PVB5FzjjTjqnd68v94FUSUgQT7hlt5Mmry0EZTl7TyLMKQ
7TAnWKB5/rsGD/90FQ6UPixQgtNAT19OONk5diNQOp1h2UuaaULXClu7/49hQt/FMYlh4uO94hdk
6DEwGavEmR1i0kfEIoNCSwOn7Rx21lVXT8PyzpHu9frFms5qwmMB0XLZlw+GhhU3jFy6Z0YVys8W
hnbE3KKEILS2QmmAj6CN3Gl5t/H/erJD9Qvg+vG0+AGdzgjacQkGPMImS4HZHUJ7PO8k6a9LinPj
2+PwHx6RweFJDnEkPOG++PIRvXxUXKqwcZ3TPmeFVZ0vbYfpvsuAeUr/nvSoefui//R8kilI+0wQ
s3fK3hjwwnRi+olnuWzQbRWuc8xNP95z0Hl3pj/xcV9uBzBXPeG6NO4gr54SlSr6Xr7JenK2qBaj
utQqBIJ9z8xva7SRV3AH8LgPAXhvppG6DqrU3F4NDX7cOxdrWg4X6JKx52x/WNjDUXUuZR7f+Jkk
ievt1/J64YWM5OhGtGNDeTxtfJeJGGnVYsZvFxCP10mItWFKqnULsOsy1NKAsv7tS55YceiFkJYk
s4rtmRwVWIkvv3+Ug5egmmaIoxNQ2wlaAFoMHLp/+Mpiy4zrUI/3NLGuGrp4X7D3W+iFJ8F027R2
k+8bGBDNjioJ/ztca+N/vTkEmGdDs2Ey8O1O+R4mGVnL4DPri8Wn6DZF+hVLA+eszcliwy/QfA/G
eTU2IR3o2QCUwxBFlP3yhTRJq4v+eTkb3NB9bHEGJhy7KRmmU81p/O3X/08XAzeCUE5fk+3g5GI+
DBkzaoL5bIqm6SYtyXLA4ZhTjjBrTklvX+zVMq3pFE9eL/ClWM5OpnqRGVaNNHQ+k6HgYAk1iJHF
ROSU+PaF7JNcHkjDLJe6eBA8HBRefSd/VGA5jh+TrL2RCkKRMIcengOv4bdddh8a1dKe1+kAEuJG
mKPGYwyindeeo1YNZDzaKM10i7YZnMCAMu6sWwgwXxZPqYOJuOELMmTH2Zm5Rj/GJuNwPEL2uelK
dHDv9dlffx+kO4EAMA0gOb7iQSeIHWv8R9ozeyEXZyx7WLcEBe0jc/7XVRc2VIwBTN5AeWkyngwF
/BrtDscTdQZZzsGKFP3qqqmQyhv2VJ27JTZr/64GctnWPB/XKf6bcM1XX6lc4Kw1Srhnspncn1La
wxnZzcHDEyCCbwOoTrPk4r6aJvudlc4+HSJwZCH/Som3CGwuKiH6s38OETfHaQWVV3pmwRohsM1M
fZkR1ASJwUHPNYX+N0zSM3czVK3VXiElYQY6KkoOdjdDPLLtdL41oQ4XpBJovKZR9OhXbk+ravXk
PqoK2aakF1jJjdfNBl3NakzEITBQXgJc+k71QaQoxJUeXnAxqR6wQbLqs0HNdbuyZTvdiHECGmvD
DNwPDigbfdIMkbfxo9GGD28amdqYVlZ8GEEbrpTsjP3kJvKmmi1j2VeoOwl86MgVMb3GNi+Apc1y
3XqiD/ByUPVFh4aY1Pq8XjB2nxvkCjgSn+EXbq0xExbof3srbkhb6ZtEdGDf5kDEjLOkJeSY3MJI
ADt1K7d+jMrPAMUNvMXXwVRrMJRwh/hmgKUTbT2jWaqjrIAo97Amw/gA2YFTUdks/OnSeL+LzyGj
27sLcl3XNDVzLS5zQdAVou1xnVmR4uA+K8SXx8g3ptt6Wor4ximqvLrIomboPrQOxiQbu/aY3ZVV
1NlttZjsF6rvrGYHx3+6zSA+XURSVtmtV1vtjwlrkAWENxXLT0eWvXupGktDUWPOZ8Y2m3/Io4tH
gZfl8rG2AjfYZnbqXgw6qAJEgzyRXZJ1kDDp+XJ5cBCQK7zrAML9YpZ02pyQn9hDhbG+LaNTHnET
6o2PUwVXb91k2vIkoLMJhBPnOEdcw0YR3a2VGHFL1GQG8Mp5Ffdva/aIjzAMzGaHQbVetsEO2Fgv
dUnQk7RZwsUSMYLKcuAgYXtYvVy4Q2iNR8w3CHjo6HYmV5XKwbSw8WmX/YSHi72ykVeo66g3JwWN
VagcD3NYepdl7Ev7ykgUe8NTHQBmz+jDDByoAZMlcDOsq4gHQMyM9wNoWzX9CrolxMhpmG6eITiR
99yMA5/vzk1t8ZiEMV3Ytm/H+vA8raTN2mJqx17Yyqn/WIoE6G0Us3VHfzZODqC9YPN257KMKykY
RY0vOZnFueC92q3GzJ1UEwwT5HW7KQGHf27NILd4DIWjC4nIpbbzK8+lf5xqJFYBz6+e8ngnywSB
f9r+PNkDMsZgV94FPd1+WWVmMqU73BLM9rxAR7rsi9qg05DPLi/WRZnt7NLAjpIPbdlwI5YJdrKr
8RC7LZHgTl/7yXMMgl08kWW3PlYy/aWYcutOpmnprnui1OafvkEnY5v6je1+mPEnkJt4pjbGogXq
fcF+TBsgrlYxcAVjxaWbkzGDO8f7RGGedREMzk47uuQJXd0U5v1S4C1k5AJnRdWC1s85oOQOBG3x
gSRSNzwrTHMCagMh73wAsqWHLfa84/8fe+idPik9TEqS/94m/X8qw0nosf2zTfr8b/7ukgZ/gURI
hEeBiwYKXOI/XVL3L0iZnJlshIb4bgYUN3/Th+RfOGSg96WmBlfg0PG/XVLH+YtOHX+bjBFP037+
FX8ILIvt8Y9DDXIo/oPswvsf9s5ryW7kyqK/Mj+ADpiEewWuN8XyrOILoljVhAcSJuG+fhaKMuyW
Rhq966VD0eJt3guTmeecvdc2DPqqnI//uH2CnTEZ/ytxtAvPCyF4Qoep+mG/RMl0KuLGPiwaEQNh
PY7zh113vEy5aHj/DGO8r2ulI3qT2lvhFvo1ZyAM5yCy1jcijVHOONUm7oR7kxRDdz9nQ/oIbqPY
57SCjiWOsG+1jDyorG52Ypvf9nPXfMdglx2AsLZ0UzOwE3ic5fKuy1yjkIkdjIpTbj7gEcxPflVU
LFlWsVdWF+Avr661bQLcKqJyo2Ulq9rQjccqJZQI5J9jbUwtdk9lo2QRRMX0pZZesZeFx3CVZJoM
s/5k3gFg8G8AZelXY071K/JpXvqhtpodOs5iDxcjfjH81L8xiCkzJkddI2Z6iz7jnWLwCeFc+Fqg
45j5gdg4CUa2DkYM1Edhi/Hs1gdfQ1gwY1GE6RM5kihK9nahy48RLdPOai3AcSlrN6fE/IlwQacJ
WN4zAvqm7OB3fb8ZxViSeTYbeElM9bUmjuhLr5Lxrq/T5R0ex/xStcq6I5ZpPlhz1t44Vjbd0TxL
Q4xU6a6JbHXWJ6f5Xlpq2gBPc3dyKIa9y9wD1ts0BSKvisNQjezguVAfmm8FaWvDcvPl2axiFkzE
wCqFN5QT07Tp7Oha5pKANU87FjlbWtzUpF0PbbNvmsH+EftZTapSn9KCEOPe0f3oSEZTeYuveEEF
pGX5CSNqpG05lqizBLL1HM+p/+o2DvDx1JGnSDrjgwT+/uhHIr0u2FOuY6fD61KtlX6NetERKaMX
D6IWcl+uQ3Yqu1o/sEyTVZVz3r8jPi29xrFYdtBmCkoD6eF/SEmoQC3GnDntrOFCEarf+i3PCm4E
JwqzRRTvappIRXSc4jBPyjo7GHbZQZz0VXlu+tLIhB5nLO27Ej7UYWJCfAMpwjqbo10fWobrX3rG
po/ZYvnhVHbEDmjqKKuIwDW/sr0bs5Hma4Vx99qwwx1TbGGHLCtEGZR5V6DKT+wvhRzPZjIKHkf6
HZreb1Ff929YpnXyjabc2JI84L411vg7ESLlMZ7lEJRAto41ALQdfiZvQ+6J+WyJ/H0eLRmHWizM
V9erHmsS/Z67jhihRa/0u5qBBQiyJNJOtobvHdGcp98kA96dcGTK+dZFbQYYPm9gQlmW/55GNF6q
gQ/FS1o8MfRY03FoBdCLKc9Mr0qkehYyO1U4G1hK5YNrdf13etRDG/Skl4KtOaL0cU712OxBEAAy
cdyyCtIiy+/ocRX3dlQcnHnsKTyX6ijyst50TLgDxWL52td+enTtMtrNqdVsEAZPQVRN2b3sAFEv
gPdDixNYuCRzvmJE8heYVNOTi0vlTpplHXJDEZDTDjQ3SI8lR7WJCYzTnJsWmETo+xwfs3IfETV1
hZ9Ax6K4G6JoeGHgWoNyspi96LF1qCD3dWExogWmJdy+W/3MN4GJx/DY3dfGOG2HwlAaIjXLe+ld
CHGBJBKELoQ7k1i1zPGXhfClPQoWFAPzbLthO0wOuZB4GoM4mreqWjpm2bUiU8z3h6d4mckgLXKc
OwUaQpY53COBL1v9jEpQXil09C0qhpfMzPF9xjGqsbTwieZ2wO75cGTDgglf7o06DbRO36K/Y+aY
5fX3gmTWc1Qn/p1des6x62wSWhZgHXdprxE9CjUeYEn35mRktNJW8W71zimBHJeWfkPDRQ+9aA2/
Mb3C2YKF8Z99do2bRSTJ19YT6aVchm9YkJ0DO+ISzlk33HSxIC4Fvf+lIyo3pOjyL6US7W2fRc2V
RJzmWYvS4uYzu4RUoXhH1lS8WUySdOyusb5SYpkHh8Hqto28epdMmfn74sbqyjRHvgmrWTcXtYgX
rAPpU28ahOKREw/+NfPjvYKmCLgsHkMyVZNbCj8WcUTDRF0004OuuPQVUSqbee6JTplM70xzzM5w
ShF3C+955EFDuOhrOPy5szQW5thS+4oD2grUk0+FivapQTwY7LPlNh8ssZUDqETEHPqShUqrBJlU
lCGERdwYQ2yefExx30aSZDcj3SYQhGy3Ka/4uUNWfoCxAc4tb1qfPCIn3ZTVqL+gIYoOrEwAkntz
M5uOfbuoTHuXYHVPsve0HdDJ7guc8eJoCy3aOSLu7ggw854APEQUWY3+kAwpoUyDG2nhPGvOzkJY
edPOzfeqW+Z3fVEs/1i7Fsafk4j3E2dTogM8xrKddrYJVcKiVLWkzQaQjIC6rfhXPWVFS/W7VWXJ
3p9l8aOyOYgEmWqKOawsv79r4qY41EgbENhIN0c+37VYINzIa374LSleQ5GYgZhG7ZKa5Xb2qvJ2
GKr80Nvq1SYaNGCtJXXBU6P6nvfOK4DUNz1SP6C/vXr1dF8ZCxrKhSqMHAvyrCp33gLhezSbWJ5k
4rqPg8zN5xzjxTt9vukrpJ1Xb6iQGL05KfV9fpJAanSF4KCjYt2jPCbZ9MpRq4qdYDFz3d6mkETF
drVLkyFtuxs1Tsq7bfpmBs3rRD9UOlse2taRG0dQvQlNcSCyhpC1vUL7QYGSyJrhdqPVr5IFlLPX
it6cIjJkwGyWJ6qNdrM6djcc8vKzEc/VicaF+2rPdvMN61Oc3UY4/M6kJxrtI8qNJNoXTMwRUk/d
uNDoiHs7+/CSqdOebAhb9tZIBib7tZbmNcih1NpUmj7voSVVu8HpvnZuPEIziouNjkY6IO7m66SZ
48FJJUmyZa9u+JNr7e9ynETqk7biohgRInzQajvIY3YZzR20A2eRp2pJim2CP+bEDqI9JMgYLpNb
GCEw5vkGzW9DzGvLQK9H1Zqk45vI6XG2vqPBftLU3qimOYDsw3HLWkxFdJzVntP0iJ8CdhK5L3XU
g60Egk2SALw1OqdwXcVduVCQI2ogTVWAJ1RRFJ3a0kxPvR6TBl0wXnYNSSK202/m2G2+KYsRKaC/
eU/fJt3BYaWfFuuIkNOi3pK2KfEYJZBM+0h2q4LNOygk6LiEzXJv65H+QyhQpKEEYD6hXUO9+OF4
CES+riFnbveuhNvk9hPZwav/EaxESrH4WZr8t4j7N0UcMymqrv+7iCP4rG7fPupfi7ifn/mbB8TE
A8JBhMfHMXBvUBP+1QOy2kOomui5QvTlHWay95ciDj3r6gJkZIpJiO61+UsR5/yGEdekS0vlh6pB
9/8Tqeune/eXGo7hs+ehi/hswlJi/Xm6qLNKQI9etDNy7gaGOap6b1Yv7UCscHsiKN1lcc0pJpNs
z7GI0KaL5RfluI2JX7DdPrDrWcj4JPzIy61rpZnMGeZA69HcZ9jDizbt9irP+ina5zSU0vQCynxg
eV34tzjOowabmMAQytGcGNdYlWpKLgAg7Blt0ui5Gox1je0UVnJVnvBN0gzNCb8D5dtwgtJfzaoF
p1I74OPnh6xBDm9tPYFH8I6lSSX+lzTtMRn4ggZT6cHwCJHQ4A8sFIiuOXCZduXQP+vGk/99a/5/
EnEe9X/Z+6C92Cf/E761dZH+0UDFTGj96F/eHtf+DX+1gxcW74TJMePvLRBP4IXCmIocRTCZ4xX7
29tj0QIhRYYZPfQzgFAOn/qrg8r6jT+KjNy00IvTbrH+k7eHzIA/tkAgaqHcIE6C6hcmP7qYP7ZA
XPAkJQkPNB16j5kl5IaE1mgX05c0h9aHED1IvYa64CYo8Ezw1sfKJKqMzKwOHRcVC71ua5lKDo12
HTcHreCQ3wYS0a0e6InVfZSpTdpjhNZG1kgMarsQx14omoyziZy4kExqwMfzcI8ZHiMq1WkkjJtw
O1TO9WvVefKVEoHOIlBndIgjNcYFqK14IwPSuCn9UqsABNMN55xlenJvkozRku2nrR/5bFrnWTrf
mk3vPytqKTMY5apUgfU83ceT7T+XUMV+RopG+TqfsOTk0ko2q7w+1eg4vRNToO6jw8/6WKwJ8MGn
Mt2oPlWYAj30jCWT11r5/AzpCyaDphkza0NP+KhDJHxz18Z2jQH9YA2JReS2N91WFvOYztI5iThl
Z4DaXMX1kqCL559KV+S+DFFcPwOEIf2l+yDYkSvwU73ZFQhko1XWPFktf0xMyA7K2rbf5pjPEZzN
F7CN1SsGDnO61S3U3FmU1DTxLQqbwPEnfrVYZ4QsfYxvWC2pxwsbyakadevGIegSCaub3Fikll88
mvABsZrTNYvS4Ug5k9NecvnMT+UPKTAotkrkq86G55or/POGFlB1202cMhUz1XqHgVARnKBTxr04
CAWmyygJCN/Q2mLwoHdFnt5pHEhkUM/Z2t0G+0c2eFcwZ6APz0h3RK1H4t7nOGBEO2yHroaGfd8w
4hgOMi8T/WvrdPS0SV/SatzTy48E0AfnsKHyn2Hy3nNst3czCaoiLKI0el7MLrtzB3YYTvMNnFej
NB8rwQMI6mR9ajHj7fKJk8xu5vAbr55W/kmeGd8tWR+iXidxMPnUxbv9wNMA/5E761s93a5PMTzm
DyYzaCVXLV3c8fBpJp3waKB2CxiK9B80RZklwTBHegvxc9y4/sQNplXHMMnzY2YQeSar+VRlZDSE
uV+gQB54RJ3A4LW81NKHkupmkXXUsoExFn0Ovne6rM6/Mo+me0tfg1KrseSJiQwCK6dJ8FdWcCNR
Aq3Pyczo65UjOP4Fq7eOpY0Q2zM6/mN9gzEQHR+aXoGcZR5wIEphyNdWZtHz5yOcaujA57yrz/X6
smfrQxqtPobRUlySzyHz55i+XEwGsqQM5+Dthf8MOo0Lubb/rZCmJA+McpFiFxQdPAHrKwERHzQa
5UcTzoniZq8j3tRIm59j7cYGG75xlMOEZqyjZ425lhbILmPigFWZxFbsElS6NUPnxeRADElyHAK0
6fwcTFrg9VdLQaOvHhOPmFLsAhb2kw7IbryNWvwbA0k0+5lRHNWXqVvITkk4h7TkX5ZmTWDtPzV2
tTQQhBc0cSkC3C6xbrPPcafWdjPrKSaAjc6k/sAISGcCj7mFWlbbWEQwtsEEai2lm9vG427pZgVy
kZeCSW1Lq4CUDlas0iTM9H7uJnmNM5RN6UyunjXzLhNCQP5mlaNEJ6yW/46ANnzMc0RPGcmtj+Rs
0GmypeIKlmJi9Ii0OTCTvHnN9ag5+HQT9hFo38dP8beTF4jUOTi1y0PH+VAcJkXqsrXwg6c854nS
fFoqGzI7jcdIXxZJEBEY1q1VlRQ/ZKukNEUW8p4FTNGQSq89ENGDHiRFfbY1kAtZYYT4gXBlh+zH
sO1wqOioJJG5V4bxiMwWzT88XKgVbcmJp6TZmu+Mrke8uWpEgfnwRpROY9ykqxOghEKKsbSUKMgH
CqU0oGldzycBZ5vRWxx1H3Feo3tLbJ7uz4DO9dlrU9vIzkIq0MqGqze7z2cenhwf0nt+c2gi07G4
m45xo9KB6T7Kc36nvm4jw2g0/d0ArH/agVJifWs7KK1FYq3Poz8ztpONhzvCWjVuP5c07D9puUHc
waNkY5lUx8zrGi1oBjG2W2loxq1weLsK2lr0REYuL3wy7J38u3LwxPOKajTCqbHbZPe5siJmZVI7
Jl7zbKRWVT2PMTrxr/anv6WgX50GxoC8SCS9/QZS1d/ScSjvjESt9D14Q8nkH1sJvS/wQDKxOUdr
yq5fLKi5FoYfTMp13mCv9iS51ElSGUSVzglBGrVtkaRtxIojRBDXhPfiA1r8cwloJ2GAS0odlyT1
i7slK37HELmWxzhd4me2UgQJPYlDJ1HpvDW5mlhreSfbTcISUyNeMe0spGflfNRV+VzHRnvCyqr0
kTAF5PUhXOhHMJ7H2l83os6pike8TPLMHuPdGlCUIt7dwdoxdceAZBj9DTY8FLgKGsZAtu5TCm+p
CGgSfmsIANXMurl04LrClihu3c14B+CEGKU2Hvp+Ri6s5NnNsO1Gq0mqpjPafyWcYidl1+w0x/Vv
sdwFWekSkSVs/evsFJh48YqUTnQ0jLpkVcWgClvMoVmEv3kjdcm03zFpS1Cg0L1xGHuEsjbLg2E0
hBGnQnqhJnJrl1fm4AcINXbEaYwnO4PoG2ruOA9AhGUyA6ogFuzg81iSB9ApqDKmm/jn3hLLF29a
kwQyYGAuPalDOmmyD8rReBLGUF813am+pEvunVwz4uk18As5iVcTGpNJ4jvkhHQud9W5nQb96mLP
AzSp2dNbQfoS8dzlE8PmprgU+AjumjyptlrfjR6hyK2/8wZr+EGWpk/4Uw+OffTNgOQJc9vYbgoo
Ym53s5b5B31ohs089eW29OSUhHAwaXAjh7h6bZLNNJiU88HYu9otaozYx1MdD9345BPWustTt927
0fhtwIxup5n7nY7lfJ/YBK4YBbGKVs4cxAT+d9fpXFbHr5wtDd3pPVNYzDI3Coyx665emiw0SWZC
w11V7jCNiH3kD+5F+qnYxk332JBlkwUwylyQcWVTXxELsEShwMGsSBs25txwUmVrnExSZQ4Y7Dt6
n0pcamvRQy5atQWSbj9MDhb7qWm8reZTK2Zra4cnJL8VTYZHxTtpBAV+YROgzyOGigBlzTkWZJPc
xbUVWtSAB5rd7d5bdwiLcQeudF8d7Jwbht5be+2iqdlksvWvS2bfqbQ0SRuo9Pu8zbxLPRf9k0nU
72UuZdEEmufyuZGz6/d+gGG0iUxzOfVAsPcZKjfyW2tG9AQDYHLJgNA9mvSXD+5oAbNcO+nsvO4m
98ROufa8wzZVHkd0229aXr5MWpMXgeEWq0+v7Xaay2MTIATRg3np1V6P8gSDdN4wvkxpZhNlsY/i
pD8Olf0hUT1g06erbEh9TUyvjCNjPestwpTZbKK6m17wM6Hn1/BTu6lebeZcz7d9I5zHNQTlhpW/
JUQKtg5mIdM96N1k0V8sCBkzZ+INiAkYL4nSCC6RlsIZw0LitVy73tbvMTYWxpZ0jXbmLN4sTFXS
yIBJBZ9bFAeI30P8weIf75LMbOAQwiOItKGC9pVEmJRqbD/73kk0FqY2dQ4kVozPWt6ZBOE6qEZp
xhuQhmRPBZI0W9dpaXt2vBep1Y/P0vGK4+IwSvXbmYjwpV+Ye60jqcxNd45Z6E8Q1D0ecSREQjul
9nrwYyHFbPOOnyS+xE3J6KrvvgJlV+ey9a5OXmF/4jTwUCpTf/HHzmkDRNJRf8qbZk6/do5U+rHM
Hb8/aY1Bd/HAqsWEwLdUM24zXMMDPAfHir5EPa7YUA41ZQhRN95r1BQs6hFefEkbZSSTEY8/MHFr
72ZZvdihWQhND+JO08eYtoWurFcvKdl1sXmtw+KUHJudO0Z2eW50EgV25DCgftLtEr3L0Jo49mzF
GTT5FK9Dhecg4qBfUXQOZTGfdGOZ7mdzNB45i+I0bEaO5b7G+eyXRtk/sSpba238S+uJ2pl6Xqy2
AM9w9E8796/qO5ehBTPtJjkQucCGGdccBWnDjmPrTizSVlc9AGjwxHEGxkl5g2cnPw3CHO6VGPwu
INfbf9b1mcP7TxuqAeF3/+lFYUTLaSKN6bSS2bkeKdbSs/J1JEVaGVG85W6LBGemT/Hx84yclrgk
Fb13LMizRPwZpYhuh2yZbtdt5Y04Ov/C6MxjoGBjH1t+ymT+T3Lhn3Cs9N5QSa24MdRIdDT+oROX
GFqTYtPW9lZCMnhg1gvKKo8BCRK5iW/Pc4jUwPQG7aEyF2q5qUz4WjOzqIfJd7hasbWKpe0F0Aiz
X/4nF4t/0hTHePtZrVqm5PeN7Ur2YLqBkLGOKcjD1JX4oWOCmw4/zZIIv6glnXyGyuJxPvn41/f+
MyX6j/cejLMBfsbHs+Qaf47jHHzCjizCkA5VNJQtXueJ6MXEycl1am3f5ifLssIb2jVvIFPm+6an
w/Dpp07rqb0vq+bfXP5/jAnnaYSOjmQYEizKllXs8otcWCNpZVHs9oc2Q1sHsR+ZYE8j6Zn4VU5v
HopNrpyJAh8EgXVk5rYmWyOj2xstG2nI9HutnChH/vWlWu0df7xStFFRG6wOIZdu0/r///K9VAI0
RPZpdohqn6cXhh+Oz0UsqnsR84LqXZTkQ6HZtDHyBAAR/51P4p/cK6wuKJAN9LJotv/sCBgTIocX
s49RQviMYqJqpbwp34hMVCxdElOTRXKfWmkSn3vJdH0rnS4iMbA3HklfMW5ILaH4+o8vC6IB1PhU
t+iV//wAVZZirpyJ+FBpVEjNxCF5OxEV5lO44PDrga+VG1WiDd1oQyxf//Xf/mc/x3ox+OsBUXgO
leo/ENiq2c1VNSxckxlrziEzmhlZEBlNJekmZTLbGsUmQT+POePPo7FWqT8BEINAqvFFOPOQI8hF
tJccwBu25JgR9fXj01U9Alz8C8Xzv/ObfzO/MQ2kq7/c23/ISr+mEPG6un/7dYLzl0/9XYfHC4CQ
jjUa0j7jmL+NcHz3N1iNKPO8TyAJXeC/NaGF/xsIb4DPNLBX/9Q63fkrrcT6jWjpFaSP/c9Gi/ef
0UoMc12bflkjoJOvqEaw+Ktfa8Uh/3GNsJLcL3sqwHPFnHRl7rDBaBsiy6JDysIpt7mwes6L1iDb
3aRh7tw6srd+n5A2QatdSCiRau6uE/NNvw6AXS5fySIT4hmWqYVuoDO+x54ZP5WTcsM0duyvgxD9
tdHj/nYZfQQAaZ1RetWJ5l4Z7wgRDg6Bd3uNEuvQ9llF0TctB3ild0XbW9+1UUTzGSTE5NFlMfvL
kDFwerLySLmXbmk45yP1GVUZCERmH9knQcXsJgAVtc7ZTe6WuRtR3Xfzxmp1K0QPo16BLY8AH9RQ
atfcSu1VkF+6lDbc24c4KkrSkMyqzrekbKdPYCubIAZCsYRtmuFxZlLXfbht3QBEVuaxc/tkb07Z
R4E5hiS5lEVeb1IOBXjr95mZPs65ld8iXomyA3/Eus50DstNT/zloSdfDa4kTLhtb2hvUy4gJukZ
0VJItlFrVz6hmfjvJqpoqJq4hRt7u+D1ujeg6F4Hnz6Q0SvXOCrfb7DeLT5N1tJzH0jqiR7bnpPA
kbmXpW2yTtrFmcAo5NFuG2UvdIqSrcZ2EuZkjnIN5BA0aqrowtcFS/QaBK9KsgqwF0RI8OZ5PPeq
j6mSY5ls3dRZ7onWEalOEQEiITecHPwBlk1oYIc5G5dqg4MTPrZgZrjzSKg8iLo0X+RiAa9aOm15
ZIZfCCb8o5seOK96AEtbaNtPMZkxro4ISZiTxlSugKW5X0+uendMYptsoTIr7NR4i7ulhfrFQB+C
W0HbphO0kaQg7TIat5MecTzwqWQwkN97DNvJVhFFmOc1ELrUblcRR1NypPAJOlKMKoIComoadLY5
boslGsJ28hgFaO5jPtmb0jaPsWqvNmklwTJCZkvrG9EsDbLWfC+mMjq5ebWrsIc8gaO/myzD5aTC
N4yXiTbAML8ahAbu8PFHu2iYH2hMdsemTUizJ/P40pSafpRAsXaMWZHkaIiuczwlWzLPsoBmYnoS
+Dl3o1enZ62Yl6MOnY8bVJhP/mx+q3pPhA3Z70GW9Foo+owQysrt+xMo7OyINeJ7y1nk1KYiPjfg
ATbLUupbJqJ79sSwozm3EwvIfSgfm3Sd+MSNhvSBXmtCnZX8bi/NizuBPvFBANBC0SHdiTb3Ql14
48YnOeVSUXivdTFctGx56FOto9pOjWAAWheKNjNu+fbZmYYjjdgIt/0RypL6XRZy3niJxcXhZTs0
lNm5i0q9ipf+UDfNsRrth8aCJeall8WIMIcoPczM5TF1+n2td/4J2ch9h0IPt5C5Qa64hXQJJc4h
t3gQT13T7L2ZqYqpTag41LRrZdFvhwhlURyJZ8dCCQd5sNsYZfF7IfSWbs/obPBcqodUq64efa3Q
750uaHqbRTD1rkJyKs1KpKw6fU4EaCZwakVXpiTLDkLJMPJsSXLxuB/OHvNBF67l4cFri/fFnWmV
mbp/clgu0dSArZiIg70hYi87KMyNG94K4y5OmjtGclvN40cBmryZPJG9FetqlqvIZXieIYSS0hT3
qdkgbZR9wlwlw1cwyVXamrzoWoenwJx+JH1pHJBk4RNC/xFQZFCWQw85KQSN245l/a63Rom80vGP
eUZ3zWnvYNHoO5YJ71zDY3Rp1Tv9V9YVxezSJc9RWn12k5lqCJs+7/c6N2qn140CK2En99Y0+dd2
0kEMaYTdZeVrF5tmSPX/ZZ7KXdUw458y6QZL1d3TWGR1gdsdKZ0oEyu3+Hq1eEtEepNbCbtDE4Vo
UH1Qgz0zwtzZmeUSPXCevUqtacPJ6LMn2FJPdoyui1yUt27xXyDuHk1FHIE0lNyVRTEFiTnuurE9
1k62p/cfcRUbcWMacbMfvfa9Qt20tdulO+i9+YjgNecBzsEJ0M4YznYzolM1rHvly0vRJc8O2SuB
WSxbvYbRykq7dTT/G1MmGgDCDvN1LZWad+t11r5Ls+l+4taVjNziJmQZ9b7lUWy8FLbnECLt8qpp
gmGEO0D7H7YkP5ywqPU7e2jMc+tkHg1sglrDyK+TMJ8Lb19MajkmdX/oZXYCypfv+0Inz9rXIDUO
GpkYOSk2EWpMbxQ+3iyhxLvQuF/MgjTvZl50cQd1kuOo2zbXQqWI8QDlbmVmJ9/lxPhuNNVlShv2
hLF4MsRASVZf/WFhY818f2u2/cMwdzdN6pbvw1Qd0Ie8ZG5ebCEYhtB76jykgknpGFtHAyz8TiSR
Z9KZsJebCRDhQIe+kRuEkcbZTm0gj5o1I8yPrdeoVpKJmkFQnwYhRW6J3qzCgVHFLTEcXQ5kKnHC
nn1NpmN1mGuEkoZhyF2lpLqYTOJALaFh9FddYGRpT4k2rtvzGG9qx6cjZ9/QQjOfISYRSBdLUlPF
XIgYYSwy8fsq07yj3+XLaRqsJzHp8rvWDlp8iEoARTub3hzOAHpbbSBEPTMZtQtzO/T+e6kNt0bi
pmEvxv6+s6vbkcwDXFzaXclw7Us+0QRqrXan6FGe0PZ99TpRPE74Dhj29Fvcw8PGrAp0dkgbDqMx
R2/ZYrRbYGTt0UIUt83qIdnDJGVy68k8LHPBj+0GwnBiAhF1T7vGdNaepY+8jTGO98NRdrxRsHRg
U1rFW+2584OL2ppelvdq5eT4ll7pPrvukm60yNFDit3ssYorHagRDmaf7mIAlZs0QbG+RNywjEma
hV4QPTbvNV8vxka0LbMP2ebfZ11z732/Gr5a3bDVweHcFHpub2YEygCjGADTi2oFomnZCqSsbXEm
fLw+ZEoJzghVfDXM4tDniG80GipbGmj1PYQiDCKml6g7mOveYXGd5ivZhoe6n6fHAXEvCqXUx6ZB
ruul6vuPJvfeWZ2LXQM3cIORSj2lmXF2kIIy82/nDSTUdIv6nw0Ch9umh1MfJraJBxJzignuyAKJ
ZdrNJTM65o59N19KMfqHsTamjZs070VcGqGaitS4lXIwHlggO4ZXyiq8wOnHpNiLKgZuRKOCzavT
qtcGfsg5dmZ7h6whfdZHes5E7TIdDsjesx7KxDK+42p0vou0SoJm6WM/iBJ6yHjXt5hPGequIQcL
MhcOwMPJVYtGn1PfVJb5JaJQQZU44tKIAJMWm5KTB1El6RAnYRkRtJKcWzW6uxz++YOvcRCFdl34
YVkNz62/HB1z/IAl4ewb6S6bEmjFVuGOgRBVM1eYbD9gk9xz15iQiD7wsZNtirrOAsb334Ze9KG5
SLwqMiJsuagjkiQb9r+8PjB0QogcMRgBNlccrN4UQdJmw6nSR+ZI1k2WZBasLqfdo1vxzmlSwvIj
iS3MXR/WW7Ir6EHdt8kg9rrxHQ0oByagRFs69E9YP0tw7ibdYWFtGBhLjCNt4EFYP7XOXG2ZnxwW
El7DssUagwaIfGONPnIqhg2Qr4blJLUDtEYDlfoQeEuefBv9/uJwwN/pRD8GpS+fJiZwTLR98FzI
N0Ym5sTseJDsJo6GjN1Ico5pl4WAfY51Le59CE97J7bei0o9gbayv2jOcteX1CkMS+bdBIwwbGVP
+gxdaEva7RV3wLBDfGY+Q77oEHqW5dPUd7gYzYytjonJmq+jBVZNJy+BaoKcvsbeWi5PkPDBkgFL
C9M6Sj/y1tgYk7vcLRAUt1NBRrqO68OZvOiJ2e2lSZS4aYUPibmpfnD47YI86bZM2Osw0XKTWzrA
G+yS3VKo8qkVWbopCHjfNaLyt0Jw2DEbzw4YLxXXPGZxmce83JHa1dw4XvRd79p44+eTs0/GfLpr
ZniEfucQs10wD5oM6X/RZXaD1FbdmDqY37oZQ/TYq3FRn2/MzD9pWB5wazCRcYcBCo7vjhfQKx81
9UZhaK+mt7zRK8dd1KkLZe68egswVyxHFIfDdtE0pAg/NK9houB0+sXoMnlo8va2Sa1zNSUsj0mD
lAA1OlNGyluIdtbewqdm1raBZTQ7e4bFBprpJz33nmw3sQIrXd4mV71HKv5e1znPT23dqf7q1tFT
PSzkNU1V/E3TzAGcZXHs02UJY8u9ILt68WS9aX0SYnM2x8CMPZw/kZkFWqUbFyHkXTZyOiMlSA97
tRCFknuxfpNH9cjxTLtVTjN4QV5OC1tCFvFz2QkaFNAy2c3e/7J2ZrtxK1uafpV+AQIcghPQ6Itk
DsxMTWnJku0bQrJlznNwfPr6qHO6y05lSbULfXE24H28FSIZDK61/slp9w07+MfURK9GismzEQzT
KjJAysCeMgmtx8y/Z2WSE34ea/kNnyyBbV1pZBR4ZWOv9agpToPUpd8rIwB9YqUAVErYeJXeqJFX
prL6zvgfEgEKZJqcqv46dKAofR/1e6rqdO/aUbETbiG21TSHxwFYcYvP/8OEkTZ+Ae6t63TJXREr
2m8zbrvjHMXWoTKcxtezKT10ZTBtTZCyB2JRSvBL/ZkePrlOCxLjg1C9neew9/q2DMkSJr0erpt5
jW5bbECPRpJWRggZPd1SbwtlK+G2rgkOoQAoMF4rDLHkINNU1czv41aGa2YbCh4T6m0oOhDvKjFw
9M6CWwuvTp/h+IuTo4XPdRvnzIw7RlF7XXRZwSh42ptNj3fggJYiRyZSthFukKn7w1XVeF07NuaL
hD6hBDMLyqBmXg8pP751B6/j3QnhdLFd82ErCGJiMqB7GBkk24ho7D114x6NEnapWd5vF4bwhtN8
4tGbxQYS1y6JqluaKecL0guxoxVm4mKMCVHVrkslLdT0mk81X6GBbuFmat0j0eYks6WJWBM0bq66
FJ0CFL5Vqen10Z5aMi6g3PktwbteA+tohZ2fepQpwQhtafyuZyARpszAdNE3fY5vYH8Em3EO87uk
4TGWTJghTukbWO4wcrF2gw8USzJRHOU4iOQu1nEYTMv8OrTsx9Jx2x31de2NFdu/HUeSpdQdOR39
OpMmvYwJ5N6Re4stR4dzZSxf57LCzk9eT4joV80UIDM3MOas6bN0o0CHiaZrkBGXlzGuMVoPg09O
ZVjyflRmmLKmlUnRMh0G3lSvC9C7qx25KSjPoNBV/UtvJy+xbe4dUd+N2J9CW5r0NS3kkSP6sQqA
iUU3bmi12MlI7T3ZtyQyaDGyI63Tdw68AbRGfHQF5K6m0pCmKnsn6TZzb6VeXWuFS6MzF0+1UBib
YHCOzTlCb87OL/A/iaUMe7nBdZ/Oyxm8sKEdlAB60H+Qw2o0qeSFHyJnYbaI4qVAmnZKQkjLVLO7
eqjhxIzG/NXRxJ09u3I9Vpq+Nlp1K1vTXommSSyPQllZW5k9rWhwkgcAr1dHq2/aWT+mjvVsaDrS
9Gep5Ts4J7+bfiK6yYnJstZQELW5u66TwtOIoVnPdf+7QrCCxCv9EdVKtKkX/T2yXY9085KhisOs
ZEb5tCaHigRQbaZsSYIfSZncNREHNOHLjTXitSnwX+96/aBQ01d4W2bwSHua8r6eGv4SX3JcZ3NM
GKt6U7RjAYUFI/mhto5Vrh0b1fTgysK9HNOs2zLFwQYr6xCFzJoNSK9NdXeFrUuzE61OuDE+xc0+
zmpcCDjVCKxqtcbMKY3rCGNNKnL5oEDvare50yrTtlHSofEMfC7Ko0WPMHF86B1iDZCAWkeG1E9m
UDFz6JRJverwoX5p09FO5VWguS0Ti3/BG/+/5/W71/LmOX9t//fyg39SXHDORfL//P3H9l9/Dl/L
Zfr91x82hYzldOpem+nLK5wd/tN/AZbL3/zv/p//6/Xtp3wyicdXZhEf/NdSimsg1Nc/p/D//i/+
PYW30D3gF8RLrZPzy/Actfm/hRQ2agkY1OjkMK3BQQyS9v/VUdjwxxmLOzZieMArFQz6P4fwKNdt
kwRdLP8Eltn/hAl+zgNnaukaKj8H9Q2ijXMp/OSCLCI1nH3OSwiS5nTtJLd/3I0LePn7JYDJEfuj
wOBXNt9MtP4AAoMB7m+ou7PfBwa73lkpZHY5Frf0/93z/8Eqy2/xxypEgI2jGbEKQbut8qMcX6X5
CdT62YUAp/y5BJNVUZQ9S3TzyVZPE9/R+eXjq1h+xB+ACOnjeFZBygdFdzUirM6WsMZML3oYpP4g
nHrVK27oxVV5yvN6Z0Yi/8RI6N0Fva32hubAaMD25OyCRnOU+BU1DChCTGZb/hHn8BuzsPrMzPTS
UgiDcG9YoqbfocEqzJJRHzUuLHLChzERIBhJr12rZEz86wj6LwkJ9oV7iHUpHhILWIWr/t9XpaWm
il8ISxWUdldpJlPfoiDCQmEeV3U45ruSKK1/uje4lboGAAV2BhH6fFETZpCulHHr47ZprnTBPyyU
vqtA4R8f75Gz9Ju3PaIjeAVvANIT50HlqaFUM3zNxmdiQ4mUBUriK7WT7FNdxdcoa+q7atJG9BRz
dN1ljII/Xn/ZFed7FO0Ix5ZF1I9+7k+GFKTCXzRsfSfHDIH5qGDsPnz9eJFz9sDyIoDZAzOqyxF5
DpMjaZCTdPUG8mWt7ewhAvUJbSO4yXR1huuhj6u+Q6ZCnmOz/XjpS/sHC0EmKS5n1juIHL7zqIW6
0fjkVE+byjBhvyUKFRVqB+hyRhjRVkYy2Hy8LKzZ928/LicLJ0Dno4Ae5ex9bPHRSt64LKZSND/J
xmH4EKuDvrEHTh0zSDOGjiA6KlrqA6VTtx1bg0eQjNpuGvthF1dN86jjrK558dwma7isJ93Me5yt
+3G4chsr3paw59aGpJHXEPLfx6reRSs77xJQQeY8Nr4kx9bqbRi/1Q/omOuE3m2Duqf3O5p80yXG
HAK4Zq1TxY6uswq6V1p3ZAbFGJ9bTZfsIzWzj8wlrO9KbhcUV+YUXau1Yh2zELHzzPR/Eylmf5Qh
orlVOspsjaquQzPLpCCW/DGqIkbydv3T0nP7EMQ50jgFkmhrz/kOdtCVSHX5dSwmcRoIgN5hsp5t
SqNJ9iJXUyRymtgSA1OvbOrMa0dNcdMwgDI5hPovhk3mi0gdeUUFOG3K2dEnxCmtdh0EBp9CqkIv
LLvoFCT98NOV+XTqZwOij0WYDt1+wnrx/DoQ+fCNvJYmWefwpb9aA05t62HWXpsGiYpntkL+VmoB
oXVMCA11SU2ItqMlxQnhOz9oucGm0K7LydTB4mReeczerHVeBfIqswIDL3ER5pvALOzK4/dLPdeE
ntxliXKThOJVtkxchkkuQPP4Vcz6q1u45nd016EnOiX+hq9XslenmlvSRLxIxYArhCwbHNRQLfoJ
NrorPKZ5CGYwy8eOkN1FyFN5CTXiIXfN9jFetj5DKPuYO110XeVDQPJDo+3wwIpOuHUn+7Aw+rXb
gNEPuqPuSvijcM0sK/TcYAo2zoh1m0dIfXgwJ6H7s2axgD5bdB2J3A25k/qJmfT3aTl39zBx+MuN
27Ix0F2esnAqCWgN0gMOnALz67KDKuOKW8fldoL5a8E6byp9rVM23UgiBZN9ols5ncKirx9JTqCh
agLtCxqe8DSFsXpPKkA6rioc7W5pcZJdFIbqThNN8EL3abjsEiW40QeXVgxdnN2tBBL+VRIE4naK
GowFQgiLtJfiMFVNfVVDIP2iIdTYW25l3QUwxHZthQDE1vLwahDmY5DXjNbsqB280exV4gRqSwdm
hRTdMaEdvTSOghcCTxcDi6GUK0PplF05Rc5vqNDObyVEKdriTH9sMIJ+icji3IRdLTRU1Y66UVBG
EAHuLvcjUFOLPPMR9L/lTrb9iNo8rFRfa7XJz2nXrzKsYB7UMZ03wYRHD4uZ2s6xi2bHcGP45uhB
/6MIzOik5rXq97GOeQnNZQzdDq93UF/N+amlrTzUsIJvOmMcnhvDKJg9hO7tqM3GQ+ZKDEfa1lE2
Y62Zxzf9jwF1aBtWjXOXxE3xPEXmcGomRHQj2PANlDnripHgdN3WrnlMK6PYabXZe0SRWffVZDhr
OU+zXw+K03vwq1ig1pbDiwBoeWpm1S4glwepTRSLZa6hkzJoCQZU6OCxOeZ0ZXSPq0nyy5yt1td6
DqFUydsdW8Ncj8T0MBSqWrKghjDHYiVuSfKIxKZTRX3MBmtOVlFZRw8zBtfIfXsCqnhpIuBY1w7A
JIr5wG8bPuiQzg5TOtVHM9EnLzMDgDEcPdRkhZbM3Ts0C1vCqqy1LUJ3b5KHvCV6BWRLDZUd3NaY
GC0L1YcH9Rbs2cXwBq5os1cIMeMyamfaBqjPNvi7oabRVQbkfYARErMyChy9WASGFAEvQy0lx1if
nrJSOLsoUSdPcgr8iGN33hA7Z/uSkJRXWy3mLdM+86gXWkEgXcxkxlGS6rlNS+1F2kU74e4dB79b
t8seESANty6ec4e3v64XlgkuQNNKsDdDlBn06XaYk/G2dSbAbJwVpw17eObuoo4h3BuA+m3JeK5S
SodWMIqcdHixRibVl5TJzpPNUHndmxF/VTSGwkCQ8LyiChPs8kL9y+Ln+T0RUfnY43K1ky5p6KB2
wSaeNZVvNSY8eNu6njp26cEqu2escuTesS0nRaedmGsnSNXl886Yg/DyG5fwNsK/GVhvGlAaeNJj
f60pC7gxaeVIOApUhpVTaQxOQGFQEzp9fkhajcQ6G/12B4o8z1BnFvAdg6nZd+PUutfGVv0m234+
xaLl0VW5gyt75RTUM4tGCSyCZcmtw+J/JjJQa0CsiXdTHqrYGgi4H3n0jjFrVyX+rvsOZ9hfrsbf
TrPEus8byzwGWunuQqtt18BPBMzW1Js7GlGwuEpJH8lAd3EVqq17t7aUjSka/HSkLHZhChTVLB+7
FvHXChHEeDdYNjZUGqFtpdsauPXhQ2g0k3jW8jrbFBUb3ApEeoDHQnKQKuQmF2rxmvAN3+ut2j4A
w8+PbKTwDtJ7eCuTzr0vkrz3LNGCjzdVsXMaw/om6UUZRCMGu8qGglK8zQt3p2OtdUfUCZCAovav
fREoX+FABQQ2y0RbI4H493NKkeT/nnBc3IzCGLaqQDSJ56LyEBJLc0ekzXRIMr3boLeIvxdd65zc
sh+3itqZT0Y3iae+UcRTYlbTDV8qa8tkRVlPcayslUpEBJ0AI+P103wpI6i8OnFBGyUl9PftrqNZ
ihimOs4tZidbgiJKPnxtckQsrDFBjkqPwJlhSSBRt6NJGiUTyWJTuInc55M0NlUNJjc2quAltrH1
6PQpuw0cLdxrsC9T720vIyWYTzjpAO4znDjOTjze2G1BOgrJ13DkZF/DLSrSW7VO8r01jdY3F0eB
nQxUDHucmI+hOgse/1zP12gy52utbsniGwio8dQpjTgCNe0L6tqXJsWyi0Nh2utVUNzazTyv45J8
F+L/qulRHdEVr4p5SED3pnaLU5p7lbnMODtENbdGGinbztBTSEC5eYRgNd5pYLdAZtV4CxGITzcj
d7mz61IxVuOcY5Gma5hG4qUXQXkds37vElcyMBVuq2toVYXmFXZRPnRE+207DhxqILxCjjCM5W0d
4hTTdFYP9Sebr6cBu9A6eBtJajgi1GmhPLSqitmok/dUzAIcPOs5NtSw5dVEAglJqo1B452+NlZQ
eoqd1IrsUe3YTnk1U1a7sfaihmK6FnndrsUwqC8TSeYdXpOlAQzagl22vJgxmQGELgzzqUlt+2AN
Yto4cmr2zqT3BNtPfVWDy6GBXcmeyPsV6S7zSYVaQwi8gTrRC/jDA5yHEKgyiPqrThJBFvBX7xJD
w/y2nOvAb7VE7GKcXlAKBgj90HwuV3S7RJ94s2tGN9oc663Xxfm9PqY4xzpJsZmrSNnR20PlM0xo
WBNezGigivre6A2y3dNYOYZBf9dVE+mQoo4WafWrU0t7q4nim9EBhWfJFFxxGemabCROTjJZmq3j
NMOmxNB9R3YO7nHUJUcRmE3nZbVqb6gQSSOazdyThFzrJA54Kc5YP+1C+dnO5u2ot8ZWH4d8qdvq
vRPZOlPY+GEoI8iMcNV9TiuGu0rvaSoB2WFAe+emzjcF+2JPJgajW9xUg7WDzHGVGo1cq45U9oVZ
iU1mM/EF3YW7seqgX3NiF9djFVxXRRR6aR/CvMO5JiYOs+9285xEP8KuN/101DIiqbqxx8F9Lu8r
iJ0A6qFawzHVo2OUWNVdUaTVN7j0y0B/gjKkVN3Pqrete1trxLjO4Drsux7nc+xoId5B0fKVKDXH
NeYI4k44zXyHHVxzX4Vxuunzzp68cSRnzJotazNCf/QCSHe7zCUyHX4N0zg1iw8h82HgQVm/uM2c
HzVAcR8nI9PFYRZ90VBtHebK6bEtXijvte8j7fi15nZS9RrdLFGnJsCxetkNdwH+tns5Re4uwZl3
K52OVzHPMeBKEckgX2h4iusxMF9EJAA7+2iebgXspVNhynKLbVPz3Wqor0BHI/1mclz5Pc0i+5DC
BXgKJhSXJAN2xqO6fCEt/IuxgXAifyyK7hjFjriO8hbNpDRMTCfq4ZCZYX8k2i/9KcmRjRjB83DL
TgZ3vV3lv/LWViHjasiG26QkVi6o7AOhSuIKiw6mKwoN9mrqCxChuBXdZlKk+GoUdr5JA1NLYRn1
0U2pTK9pbzvfdOyk4XrMjkfO5rw12yzxkj4nXWhJqPOaKI+6VaeMOBFPDSdZkiV+gjkkya+2yuPl
a3vATixflxACgVUcPD6red3G+YOSxd/womWgxSm/YmaLvsKdaIq16qkxEgOXvIzpBThC3UE7cOEG
ulb+gE6uvJJzpu+bJqCUwpgG6a3hibRyOsU32kHJfdolS3mdZNbhf9GYe62znEepACvRdzr402CZ
geFC8DUzFIlDtp3dUSomz6NmlF+TOq2/VR2eFrtKwY94FQcEz+3Q7QbADykljVBkccJ2ZMBXu4zH
H2mDjzneZgOcLb17DQcHESyT3SsEFMXRoLL9WVQqOA25TWtLSW/mEjhz1RpKtpMpwbQDj+oq7asB
nVpdyRsGgeFNQjG0SgTE0o3jmPU1BMjAI1JQh/9q/5IForaOb5q76mw9BReW8wHlZHeXkiK/FmEW
PY5Na/DhsrWNVuTBqSU574Ux2A+RtMMPMY33c6cTY2VbIHQkE2u7pJ452SvFgJTVZffkvQ3SiyIo
GqaawVcIrHZrRZ26JXNvyXyNhK84pdhFkWVf6ak1cbg0nb2P0KhgSEmSF/Q7HPA4CVemoYRbJxzt
B1odviehm/8IcltdV6H7JHBVOKpAWzt+Cp6KYy3vRSx+2ZnT3PYMtV5COLxb0tIdOL24lF677jzs
yMvjjpWOQyJEgv2r4nJTjMB+svtIPMR92WyTLuaFbQBQoYT2WCFYeDMq5k4akX5HD/K4hJndjtVs
HeoaSqgcpAVfvAie8esgJq8ZHMaEsDmBdudiBckSvlJDdTu2yJbgZBU4PrchFS5csDyXe+lM+SmI
FevOhi+/thLctPFJM35rYYHxCjq/TdPF4YEAuu4Wjm10lZmpeS+qxC1Cb5oDpfueFAr8IKzpc47b
TV8Z1XqWo3oKgs7ys6HqvFKmJY4SRnYvOXEXekK1wd1R3TVZ9xB2M2QMWyVNKSynnRyaH5Fb2H4C
89cbKAQPHKSKnxtuf0UpZx8GkYc4KdYp9W9Z/O6gG8MLkdWLUSfVdzKYupoWoI7SF8weE/WoVV1w
dIYgWTMtGdhsrf7QQceF5gCs7d7EOEsCfcMJHVdGU1bmti4YI3tO1Lg3xdRkD0WOwXxuTu4uitsF
snfzB0tvkSjIbqXOlCpNbTQHdR5+EmuZH6A15B5FFU1S3U+rWUuTPZJNbUM74SvwaA68/+Y3O7ce
c5T8MNXL0KcqzNaMO362etytS6wqoD/wfSVe2Iep92zTgozJfIWzBAyJzGJyxphI6Rztp0DzfxRI
9TdWbTBISQsMbgLN7xE//I4sw7zDiF8/taP7ux6F8hjy6n3VdbuJ1mZb1ti2NWOwbh1o40phljsV
B/CNHtfF2pIhXCQI+TcfD0LfT0EZ/YpFH8WIW8d77O/5vdG65OLFzF/tOskOWt5/xUxh9kOL7ta1
GeR/vNwlZMIAbFnyZwlKOY/TCZta1RRnYjnUkg+1XqMlD8ZNjSv8J3DLm5zlfHKOfZMuKMOd94El
LiLefw21yWkYfhIRwYhrCrpfI5ExK6XNtGvmSurOcmb1GQkxHeXAPO7jy700vSfJhNAigSLOeYce
2IYktkBtfMMOxYlgUEZ6IXPSj1e5dFN5hMsMGzcW/TzOV4xEaYscDOYNDoHoxjwSreRKE0n1yfO7
dEEkL9MIGYzmcLT6e7ukBOf2E3Q0fxjqbE3e0A/LKX98fDmfrXEGKZEeoUNuYo9ouryeIQEKJz99
vMTFzfEW1EOqGbxj9UwLhZWBMzS6RFHHB+yaOAP9oJcF03LcO75FClBLXfRQgRpmrRU2DHsnMD6D
dt6/eqi/TeaovH8u/csZACHMqjOU0q39UGsyiNjS8gYtra8yJan3aeUW648v+v19ZT0bj0EOUyLs
zt899B6qM1VG7efFyCllTSc70uxPzpP3e9EAQzcR7VoEtsA/+XuDuCHhy02a4Xwhw4UBUkKbrfor
dF2fZQRdWImLcJDOERiHHPdsm7htHM/T5JQ+R1sBetsejcl+qJrk8ePbduExkVutqxrPipNLLAjW
H1i3VeWp4ZLY4s/4YDTZM3pkL0kLdPDB4eOV9PdgI4KgP5Y6U/HSqFpBbrFU17tM7wqBE8SAfGc1
uqSK1n0xf51MgGni0gOCowUjPrWpg+8WdetGzrqEAWsXCE3opfPGYAqWI3E/mE5SHSR88T2sqvk6
yCgGRV2QGIHXxYbiSm4yXSbyYPfZeDOUHWOsqcOOlF47WcFtnT+5UIFX3xmqCZTJcF/lBSAsa6F8
/HlP8RhTDBfzeX9uI/nk5oWKCbHzZcJa+DmfFzkMnjzY1gffG+yitnYK9wj66N7C4juGBu5pNWx3
vfuaB1RH2D54RZl/qQbneg7oLvMyrbGmIxMDdqe9wkbcwDlgwD2h6XGCJYa080Yc3H0ArmEtpYNv
PgHDa/p4+yoVcBmS1EVpwnm9djFpxtgZTQBX6HK3dIXicW7VF1xQik8+Wu/RUKG98VeAe+GanB9L
WVa1bcHozp+reY8JhbaSqngyK/NomPoTzlfDJ5+O95ubBQEtwNFt1QQK/ftBVAmGvvXs5n5cuwol
Y9egmcwGZ20ghMTpZxnXfLzJL1wiePbCwXGBp4zzBEbXmpwcdn3mLz5a2EtM1pIdMyMYLNunhIQj
n+r85eM138n2HUdQkercVABfTH/OLjNUIBpj8ZH7Vj67XjR01r2ItB5n5sk8QgnMHis9hy4qaGTe
pndOJLPHvJvlBkmNu1OGgUHSJ7/U+5cAtT6vJkgZdCTj/DzGE3GGSTjnfjsHdHkGqgV6NcK7gyX7
yLbgF1smTYWZbdywibzJalOGkkL75LtgvD9JxcKWokhZLGbfpNB/vo0qBQN+6nEOmycxutXbyC82
svnE2KEwjzwuey8TGnXQB8RyGYeNpuScLjEU/LvBGFQyfQP1W0SMtqfLWf1Wpm0B15stBZiQbql3
zR3Tqlc8cFZok/uNsJJoQxst1g0iRwKCantDoPASV0VqfWrcp0Yx3hYEkeeLd838FDmde8hU+7va
Tan/8ZO4dP2kzcHMspfv1nn9RNufZK00uP4sHe8jWCv+aKHNiTUl2v7zpZhJ8AWGowX/7+ybTzxE
XecR75tbwuisamcBusaKoJEoC58+XuudJcOy610NE1NDIPx+5xVSKFbWDXlc+FWP/dlKcoyCg8xC
2wVV2a8LVLNHrVSDOxjHw41OcslJl2gGhJFVu6pQm/3Hv9D7wwZ/QagW8POIidHt5Wj440sa5D1a
5mbi1E+U9qrnJNzzTRv9MGkI7kD8OHzyYN/zWnirbCGQ5EPqc895LXUpUHlVeYkaTYo9I+V8U4cN
Ug6jkrvACeVVxHT5QcRu+Ema7fstZUDaUYne4dV+Ty1rwqlXos4qfCZ507feGrQfNZDWA/42yevH
d/XCRcJhodZinMP/zhlCQL+01FNX+HnfAPz0GjglYFdLPE3R7DkzYsdr4RBM+JKAS3y8+IXrpGvk
FFNJLXXffT/sNIQ9XhaF3wY4/pFS/hCOIWyWZGo+OS7frySWEkxDU6PaRPcum+uPzcOYqw1LYuR8
3XGepqnAOtfBHqrhldp9fE3vtynNFHRQaJ+QzEh4+XulqiV0KOw7VEJah3mAxWzZSG6HwbTIbrN+
fbzYpctCu0j3JjSA8ncfgTirsPxAkgRzyPCVaipKYFJgK1JD0/aTe3jpyvj2UpZrJpj9eXFeQ3+J
rC7nyhTxEBnKUz07v5LReAgH65MO68JnXqUmMS0ujYr2XYInuZpTocA1MapsYzAOdrEkXtkZMom5
6CFlo/n6+E5eXtGl0eYY56Vb3pM/NogiKttBzJr6tdYfyCl5JtnwwWhSgiFIH19Fnf6J586lRwdh
znjrqVjxbEeaLVMViTTYV7ruMGW9L0R6G1vqJ8u8b9uEamIaLQyKBG7m2Sejd9QxjvnRCHF0Bbet
AovnkU/wx3fv/SnCKqhjNE5mlYTXs02PlnQskkTDhsNgaMcwy8sSsiwK65TUEs6AM3vG9Fnm97to
Tb5QbweHzecQf5TzV43YFunC7kt9Fx93DJSRM+LplM7XowsRYS7A6VukJvoKFTjedUgZMGNoVXsn
xzrcZ0Dl24GmDxvB+ovbpSRCVRWtz9L01Kg1jzD/rK+uPlh+iPDhkzP+4oNxsPrFYZyy6fzBwLqI
MsCbzGcAX2ySyU0Oysgo9+MHc3GXwRq3ly858af639s6FzWfkbDEA0va2aose19NtQfHlp/1ZPyc
v8dlPAqXlAE+QRbK/7MNYNqkFFc1gVz6WBlwdYJoP1rquP34ai6dQJSZsK0dRo7cu7+vZk5UfUQd
kcKPatFg23ymRrOTm7bNXvpE/PMZARMxSPB8MiiBMOD5ezlHxkQeRryiUxr8Wu4d1oCnvAmePr6q
Sy8PFZZlIzhg7HG+jcc2RRNT8vJkuLDfpZMGihiYvygsy20Tms7PIauSPRy9zxKgL5158P0FUwMI
0e9GOkyHMX8XfeqHoX4rC+V5TsJtlTxWWG/w9HcfX+alDc9Qh5BBwVDzHRc64xptq2pTvwqrdJdb
pn0a9ERZf7zKO9es5VDgJto6nyMDEcfZuep2+ohIvU59onXUxzhSy62CnmIVJEafAT/aw1ektqXX
lbK/raciRb1oG7vIgbY6T5UFdp5Ua60Oug2dLJSTrks+m91pF++8reHFqPLUqX/+3llN0KomKbt8
bUYBEiLrZ026JV0c0svYdp46TC08rD7BaQrE3enQt3sMG34QzYmMtZKHCkHwnhm5u7ImBQvgiOv4
+EZeeNc0lWaXQgZrqXeddmbzO8Qj5TbeRb+qWZNbtYIvGmRQdKbnj9e6cDu0Nxq1ufDx3/Wyujap
qnAkpX2g/VIZp+KVoz63E/JI2y2SDYoI+UmFceGl0zRASZXVVC7ybJv0TTZh4F1yeYn5LYpDxdMh
JgHVNPPK0Kf6a90MeItqRe//82vFPwLjaiob8iPOHr1QXBiVTlv6TKJuagvfB6vJTmprhasoDR8n
B4urj1e89CQp2Rhy6hqzvfP4Fd6VQbaiLsnjwzFk0oizK3COOg01nWROqtYn61345nCB1FAGHzaK
xbNbmwcYMsQlt3bsQwQqohnWal3Wa6Kn7P/JUq7qYpEnmAadf0QrW8QyL2jRNEKd7sysRkZrS+uI
Xav2yfF1aY/SCbM98W9c0K6/X9ke1l8xM/f027x76KLy1TTrhwwXmFUc1idsp+Q/bo44wJCU6SZm
bIyOz74+2gicqLcz0zwdxbNqD1+arllXTDk/WejCwYxyQsXECVyNnn95nn+UvtVMiCnRY4WfheYT
yZo7Z64fPt6CRJ68qw/+WuNsTyzhmYkQrIFmQVsJEjIOrdmaX/TOCkg6HVruojqszKHBcMFKwq8l
Dq3woYCjOwdp6LDkETZFDJiNURbGY5q2QeGe+bEhm8MsRHTS3XD0iqkPvgeVWuzylnES3S0eRX0Y
7COTKeGsjuMdKt0lYBGGwhdGl/DJCq1Nt2WOSbPa14FLAzWGt0mmUh2Wcbwq0ri5jUY72mmkA+wz
xNo3vRHl1z1GLjgFuw8xAyuPO5ziDgQqtIrgQvrwL7HKGeZqE3SRCR86Ha5KgQ8IWfDd9uPbe2lv
8hW3NfYJ2TbnbaBVt7WcLPYmTOjnepTPDqpuYShb/IY3wRLK+PF6l95wam6KPcBJdD9n7wKS6qI2
yHLzZR0tE/UbQuL3gyw+KV7fAxqkriAOA9ZYJp3u2TJiTCOjGd3Chyd/qqrFL31wftbpV3D2azg3
+KbpP8Km+KRlMi6vyyyPO0pzfV6QuVVe59VgMhMpp/lbNKpoIBuhnNDyqNkGWhA9Tk2Q50amfb3O
CniQSldwkNd6vzcRMpjJoOwNtVO2GpaJXgD3lQ1X7ZC1AdK7yYuJnftqGGE7pvaMuYUkFyDuMUoJ
teBeT0XrObNJJpZMBCZLcxVuEn6ftcyqV2Qt2l1ChOuuGod6i16Vf5/j2Ry1MtmQsaI/1ob52aO4
9MQtgz3morbigSy37I8zIlZbMy/SvsDR6hmDiMWiQ92lGlYQH++sS2fRH+ucF0Z91edZ6eLD5BA4
7BH90nk5/nYfL3Lpg2gZBEGYuGZqlrP8En9cjFrrVVljO+IDqTveZOI4p+pPZRoxTW2nTyS1Fxdj
XknP4qLdPW8irIbDqMh4V5TIyulE510vqi0kV+jiMv7k9l06CCxATb4WCJLfFb/ZNBlWAlEMV4nm
pLe25ZHg8YRpwauMkaZG1id3Uru0L2y6JBpYlKL2OQo9t1XG/aVOS8YsQsimawdnboa9DtK4Lg0l
8kVVS8wZXONLrAaRT+5DuwvLGEe80Em3LpZnX21UTyhQAhy1P7kfF389DkTGSMxvUSn+/aSHMWiV
dBmYD3X1arjhY6T395kBVebjHXVxHQbyaHnQ5r4rDtqedMwKyqFPJ1oxzZHPxaQM67JrPvmQXipb
39L0AN0Q6Npn76FB8AruXaA+EllM1MLiHYpTU5qH5D/YO5PluJFs2/7Ksxo/yBy9Y3AnQLRkMNg3
4gRGiSR6wNE3X/8WpMzKpqpuvjK7k2tWg0wTJZIRgcZx/Jy915b6dV7VD0Xu/UWj4p9dwL97yT8X
rOkCXq2yRXHQxmkf9dWHB2UsCp2Lphr+Ys9h/rPrlx0pEgDKR/bCfyqOu1FaapncgmXGmF+7WH2O
8LQCaF8yoH0bBZrSkqBgRd4mMGD2kaav4tMGXSN8smeLpspzWMv20BuYMjDuYaWKu+aeQB8YMAyE
YFe1cje5o3ySNqum74Az8QutneC8rq3NyvgUo4FjB1zfpASMif6M41ptO0q+RA7Ens1msu2L2bhX
6Mp52Bv2z6vpfxrMcJV8b6q2+uz+iGL4gVf4jdPwvwjfAN+A6/3vJIF/4Cgj3is/vnfJ9777PcPh
54/9muanf0Gkwm1I3YCa6UfH61eEg/mFrgBjcZM7lSeZw83zK8OBAE0bADrbiNX3zh9+YziILx5t
OpQ2Nusqi7j+7zAcfvb1/tApY1bLPAk9lw4YQvz5EreN2UE0lwwH4vB0QEkJlj9IvYHddS+zk32T
Ykh9VTE7LvvJC7IUfeg0QTSSeqYC0ckHiVHrQsMrf4UH8TRIi8gLzTkbdWP6udBIIU4xBs39SgMm
iHtnmYXYEBuMT0gCIVOEeAWe03sBD/tbZshiI2ISdVNLZlu9Jhch0nlN0mOHINVBmwlRi02atS8k
jjz0BEhgxqiMwLHTb46mBIJrvj3TKbcxqjVQ65sXnQI0WOzB9NMFp1YRuk/aKO7wSnzD0ZPws+oF
df8nWbJYTZAQBq5jEHREx9Yo+TyOQlWCOOXF0VPP7xrsgqPGx4OBZ5BJUIrNoLmIsSV+1q7bhi2H
Bib7NuoKEzRM9mlkcFodh0NZyaZl/8kvzdG0+lYWPfIROAxCIubEjUX0EL1EwXsYlEXoeWi09PwN
IIIWcgb8E/nGqR3+NcO/LOk2rj+ZWoxEE69HU2ysifJM132Vm93W7vAD0XC99ejpb3Pkz7gTFvvS
tjCxlKNpbPuaN2QqJ8P4Ez1mrUf4urvmpCOCpa6uDmhQjcAOZ5jYCL8j8p2i72EOB6lrvAeYUB3h
XbkKWlSxQVzgO0TJI/1KDOhQUq99CLHMnSAVhgFJUXj5Flz4YEkRBLS86Gi7R6lrDz8ukqSe5Wa2
EPwoojI2+mzeEl2Fxl54D6NE4mBk/K8Q9u2Q8KaiNLOOpkZakJ7Se62iYrpwPSKZqNu4ijq+lyn5
OcH9vKmrFjP8EKc4sZ2Jw8SF1efYlQvbPnM9f05eRgw3VYyP5P4b3QvO/cJXaUgk0qBr5WbsZIuF
u+JnCo5Sqyu5MVy14E9nFNm0zcuP811Eq4KLLLWgg9i2i2IuGddrOPUrHhYVfn4h9OiTm5yrmoBX
X8ZcndLlUqnWeyFi8/SYx3zpyPQbmxHOPyJ6n4Dt5NxzuFzLfZgXzvxYc5+45J5cjLJYrmKXu4PQ
yRc34xc6LmdY9lxMq//tx8EoFTcF3oDlirzDb0UFHiAUbn2RG60NcYqLNs/wKM2lp98VIOUCQ8EW
HZt5CMxOoaUpDGPbkK2CHsvikAqoTmMUt5fwhHgWMz4+mTUOvxr11jZzuSnJEjwlY1oC3664ykr+
ETZgdiUNblSABAI3FZHWhHPnW8F9IvIhuR1iGKbr7YWJdSEPsze2k5XLDdUxqdE903VRcLqt2Msu
opi99USY93bQ19swo5X649xqBR9fC8uTQ7YTSwiXABMBLyAzDyT0epUvLs7SSjFmBrGZbWdKlZ1j
xvlm1Licf1wA6xXOLY4JEykNfiYv8Abub2uBqfDjNHc9sqyu4TIiiRLLaqqHbyqxCXAiSyVYSJDB
1Kdrh9CDwJnayTcSzDkFevYZZbw/+rGsKxp3c2F2XoCVA0JD05cnEommsz2hMxnTb1pE7i+RXeUp
zIwMrxJ3RA8J4RDZ3Kfk4+inmcguPAxcZCUk2ZMGORreOsuXmxZvZcvioCPcTyZrjzSjBaw38cv0
cQis1nQCtxPmBhMPMGijbY6j08qNWxL2MSWFOIhVAa7lEYsieshtOHLqNDfz9mFv3Mb01veLXs57
4PrGVqFRCOyajx0OvIWxxyHKLVJhHmcFKxjL/FybgMBDVFtv2oGhBgx2LJh6F9/YDZdEY1u3xpzO
ewdLqo+DaH3sjFxM9aR2LcHpQVblYhPXojxNjjWdezf7JJmZQzNzB/w41niys01W8Ct7nfNqQTHf
Wqs1GKQYS6DFbtbNtfDG0BeMVFWd72VYf9Yufw3PYstNDzg6YT2x8Ojs9Kb5LoVmb0tNj4Kqdp8I
TqqYK8U32tif3aoDGzsCKZgTNtG+liPIJldyFlsjGyvhl5PmgCfPl9fMBnznO1QE0NuJyARSvDTp
N1iX00ZHnGUHUDUe7CjLEc6PKr2ao7a/SEbBKTRFGNGdinQsSyn+TUzlSXdD0pWDH8PR88jdNe00
pLSZOrGdZtyl4PVjRbZeXWsXKuzftK6q3qlNvwO6r3o/MqfsU9amtjisEsvSBtwYI27kptp5RTYx
oGwwfgQqBfxRpNagbSIeRRtGiOGVN1aLtmPQNrbnzIileyw9q2UrgMRJe4H1AnMW6UF+CmM81JjE
ch1sw5zVydkeHAOiuYFR967sKR9i1/l3dyYueXiokR06Qg4m7T9ttXJPMxaravqDi2Zl3yzxZ5Lx
cDFL+dA3uDFtcr0DK+FK/10JePOzcvo/OBNu2BN27X/97R+2J+vrQjFggAZ8Bk3oH7d4HmOy2etU
f8BtvS523INmkr2XI0RTpFGf//2r/cNGb301OgdIAXGH/cOgGzm+ZiVL2R/ymQtkrQS8DH9/pLXi
5+f6zybgLxhuPPHXwvxf7wLOH98acAaMmH4y4Y7v//W3X37olz2AZ38xdSpvhFs2+kiCrv72K8aN
kRaVPnuAH3i3NRXl71sA8ws7AwZddP2gef6ICvsV4yb+nZKfTg+X4O9K/lUeizqCqacLRwilk/XH
SzQ3ew0bEK5hE/3oEF8tWYPeFPscGYJzeRrcxJpVcUwGGIpxD2UWz282PtiycY7t0oX3eSHDxS95
+1eNnjrXRtM6pyn1UMF0gIggLeTwQeEgAWtfkv6FVaE4NxJTzmYwvH7ndTI5G5ME+k+cBODkgXpB
0T8IsMqZZ9A+doCHpt6JQRY3WSbKm24c+zvSF4FqktWZPZHMMbI2NxJzdeOUL6Im3JH5sWb4tay8
u5wB6h2eiCfADcsRD9K0J5ILvEBtL3dCz5u7iYw90ul4+0vYTVttNImyUx4ZY+Sfru7RaYu3j+Ir
yer8oQd0/+a6BVaAtmK5tRYQB3Wt2htuz/i5LrJ+DkTFqNaMBmPnxa5+7/IgvLMnB/easDC2aqKc
TqT0GidZt49FjqnAZyznQqoYTCMQploeyq7PAqFP3zIsviwdQwa1XxuSU52UBFviUG5fE0z18Bo4
h485kWVnOQ7xTuvi5aKBr2L4MerbTT5INyAq+UcFqyU3UDJgfeXRNbDWdIeDISOAhZzU1vG8gxir
8TTFMM94wCWkARQOCstinO+JTu7JsPbACziZcU3CIZwyoy6vMPaNJ6st5wMNFPMttczqAl56d08b
BQBJkWnZtjQUUP4mJralUFZ/tei12NW6q23KMC9vNcqO+262uq/sUPPP2UC9aAx9QgbbVF4Xra2d
zcTdRbboXjhWag7qqfRu6lYWL2aTQKHCpb0pO0NsqSmX/SjY22m06N9rQjmv9U5VpxSDVEDxRRec
QHeM357med/JD+mboG50CnJtYfsS0C6kQHDK+LZsB5BHjld32xlJzxogDKm2JT8PJcHbYAzysgSs
vMdTpM5WQz3Ql1BDeNz09LyjaTfpGnQxAHzpSTEJYoyl5EEMDjm2ZZTeCLwwXFPRcp3ZqVJ+aofa
d1mZsuDR3uqeX48OmQ4gH/vLMnEo9Zm7XyQZrhoystJNquX2C5Rj8dxM6XRyvExsY6vtrwi0Y6dS
qXq4bbRo+VrnilYQtex0qewkevCszL6WteU3UkX7YXDLG/ro3Z0xxFTrNixHvx/oOnFNlq5vE3qx
+HFHUIzTIrYlgbXURj+RZNLCjw6PzH6aoz0T1036r06rNJxqJIxOExZPLCPqZi7z5VBGtdgOEB62
CXvzKzw65bjvB4WcoE7ktiGP6LqIiui6iS1j3diar3mSexn+4mZ6bsPYjfxJ9vO942RmFKgyR0mV
6vHBxlxy0S9DubbL2AIFgwZDZ1eqWVyTZU66iQbmojhrmYyeXL2siUt3qlAFVl2HrCQJFuylqN6J
KBaSXVkxXZmLi6s7yWzcsimS16doaElTTJlih8BgcU2YiZ6yv0hLomEniKqAWQidvTVyoT83bVj2
QaSMRtW73KFFOV2hT5NTwolbYWXGrhlUVKwwjdmRRLeJvhX3ISze2XmM3EJ1dxhyezoxdcHdfrEo
g1ShoCOqdVIba6CUvG/SKZLfrSgL45L8p1yM9mMxpCOCc6mApu9Q73Xp++wqpWd7mkdN81Mb8Z86
4C/qAJIAVyPGv64Dju9vcfX7IuCXn/ilCECC8EWQUcDQykKGS4n4WxGgr5Fqps7EAsHV72sAjxoA
hfBaS0K+hJn4WxtQ/0J8uucIgz6gRwVh/js1wU/f1+9rgvU3UIWglaRU+UcZSKaHNa2F0DnDrcJZ
FZZTfVm680y8tdRne70LDaxj5cUkPCe/XxJle994dn3E7D/vLTcz7UCvzAfEeNNz5mrJpW2CYgKw
JXHeqNJhecNnRNubTPO5u9NyI6r9OMJ5+ShK2EN+OSS5WVxCF2pZnPI0PbtG7NU+1ky5S9q4PBbh
DDCfDPKgmHXgy7hHNgg/7F2cIFnYksJzywOcgXcqRvhAplKntje6/ewM9YXhNeP7ouevFpmw75bX
iq/5WLl7oRL12hSZAGVe4Mky2zdQgPq66sSwalyjiS+XOZ4OQlXWjhOlnclQCYnJcIddLCREmqDx
jGhoEEj1WI5XQAT+bYO2xzXpP8bzQPCo1WNf15OJNhkSsLu5Las7DOXlhjiiZ7K/vMfJnubrqSRk
WBne8zRJh6oB0Is5FLdWqtUHq2+Mc1MU0JykuZq4k+RUDNWIEi9Orjwtf/O62u451mpr0867pCbx
9nmlDWCb3fA4h/aaBq7nH1QeiOqZ0HxAxZZ1INsGU4GRfPS90Wy9MZlemLSPtBGTFCK4klFQF7l8
NYw+29puCi5MVs9FUjzXGi/N0kqsYzwOX8OOLTI0t2prkawd2ArUu0/fYqDZCUlSZyfkFffuMlmO
H4pYHdcr8rEeWmcnQYCvSUl5dnCNnoFY7Lod735wN6U2DCZaCNOZNyqfRp4xmR7dWZme3cxzu1yH
YyyCGDHMKTYJt/bpndi8illtPfxTeyslhpmHhJnc09nIT3ah5lM8O+YVXNYUlkM43oxN3ezKtp2+
EzqWl74uTOIjMk19ktWWslEe8ZkUbjqemiVMDpNdtqcuhPjiT84YvcdGrgXgLO1DTCAvAKReuQAC
vBjkTOeK81jOYOgbGOp+U64xLLUDsyKSbf8EuL0fQdrMxo5kvRq0C63fjRHFkB5ig7glrQDsT9Kc
dzkUBeD3jkqKwKAaroM3Tqek5k25tYOAhXjAx4jedEG6kxF/Vv1SQc3IPbbAmXNqbO3dWWzhm3Gc
0qPAJuVToY/kYQC7D0xlKspC4T0nA3qUoXEvoTolN4UEPIkSR3yjJM53RqI737M6XOAXFaThOUMM
WajRCE3Qu/GF+al5o2Whu0FnHu56ejdRUGbjfFnhR+8CKcPqQjrZqDZFCFl97o3lxrXppSy1VwaO
M62JAaZxbI2sucuFTQcsH/snO4ZIkxAcQyBVmGn0UyMy4xShSjacK1J3QDfC5Uc2S3KV1waFO9b+
AsF8yxwg3U9dSJrhKJfHgSLFH8Za38U2tJWYtrjfdFZ4FcuyuXGcGha9bB6STHPuSK4+NKW5XI+9
gMs1uReESCdIJ0gfOyZhMR7k6FQ3acF8Th91qJNSyfk+Y+Z6VbSD8WAYdfqaCL3egMUP/X5kEi1n
cI3Hkr70/ZTWRgAzITCZ7F0VYKREWY23kVU3pxkSfcDiKc5tz+mu7BIteUGu2SBqbwO+RxyXWn/X
8XGcFTKwo6EPxrFoe7LBdSglsDAAonCS940RksueKMT2ag792TC7+8WL5w/4PQxFNHfGrVhYt+5c
FwlnEQ4KGsU40BNSAFFdqk1CsJ0vjKUju6afHiGZWLtaAepw5OBciQlQB/K68ehF8bgJM4/opUow
WldjHmgTNtPGghNOZqPtfOUhuByAL2sfelprpDDFJlZAq/9MQ430QUYhd8Ac9UChVuqqWrxFSxFt
a8IXNmSCDHs5tBqpHWEdf0WG1p2aIr9bLS6EAjllYDaNujTyiIROgBO7ESbTjdAT77qNV+tE14fL
1oow4RdWlQSGSagGpNdh07ux9YGAaNiO7vSdCJ6B1EA3zP0wG+MAWp52ijW405Wyx2c10dm0dLXc
OXL0Np1ZOV97GXNvmA6MEpvYED3JJoygvcaCFRGlYCfWa5YPtPqpes86Nt/9Iir9bSwiazN1y2PY
s6Qb42wcaI2pggZtaN+TZTJtlFjYPXn53SL0I9UDSaANia3bTMyc4BLSyAay5u1IyPWzNkHPSvui
9Wd2Mjf4AMGlAwkbn0Tk1BeeWbsXEaMwMpyy0DuwbmpB24kT6Zzm3bL0N6Rjd36N1Oyy54BBoe37
h3Q2igv8UD63RLJnNEBLfYnioye1u2z2uNTGpqI5aa6ghjKSh2Ry+l0ku3zbmj3QOBme0gyJdeW0
/TEUqQQKR5AIVjbryA0V7/oCt1XUMbwyprwGpBUWpwgqHo+icHyLE0Gm6iCcy2Vo3e+6m+ffGsIY
znbb3LZmYd8v0noUs0UX0gvr0ziajOI6bcGj6eIzt93hsQXRdGE7xZou0x3j1CXsJ0uq/bDaL/sF
O60/aVF7AVew31pJZN21UVndLDVNZHBw9uCn6a1Obf9VG0tgyDyVY9/Uw+FZB/53yJfBPhUqSSF4
Aeg0UyJmDHGdOdbTROorzMci3yYlxG2XfugDidIKUJmsr5XsQPq1ytyJOvyQWcQSCJ9mL1s6r2Pc
5oeWHPhTbEEGUnYWvZABn/huO1QbteT1hvTW5dOmPQFukNQiQg7vs5C30OlZF/D+Zt9JzauBVXWr
Yv01bAnFo3MdX6dsjXMAWldYQ09zqFuPOQS8ixrQ8Zad1wBykYFCMmXha9PP096akuZ10koHUlXv
QQBFWeaOCAdzp31do9zIsCAGLxoHP1uxw3kfv2m9PW+a2RS+K1O4TN7s47DLL6fuEvKlBUKqKoaz
lVcRQV7kJMUgqB5TzSnvKaqyy7KWPOptPXT9ZMyIFqiqTsdJHKlzjrm4wPZIMolorkYT2ls52Rqc
UqvYidiIIDQQ5dQYaX+IwpQArGFMnZvaVtORxFR9x46y2cxpagdAa18Z5KXAM0n92Y+jvlyr0UUI
Zzf6Bdka5c6W4/TWy1CuYddEfYRg6YBg5REoLWeurY0NPPV7ycztlYhrJo5L+1ZEXrjhjXxCua13
KZBK1PSlBum0FTIo0ozhDWQJRi91VqS+bmXlFZT7LDAzBgPjUIDV06zoPexABlv0e3ikOU3n4zua
7rIsvabuDbpk1YQazrITWGC3yxjqbBozBhQW1WYspTgQECg+0bbYfsf81++7sSImsIu2egLUkNKj
2bZ5dmu7C8PPVszTZYgXIKhL0MyCU/1a6W2EiSYMty4BhPil5za7aFqA1lGstZt6zEm2q93QfYHt
vQ5ie5ckgEXcuooHEtrVKD3rY6d/n5SbXxNlxIIwGHlgMsraheUCtPFeTmGfhpuQVODqe9IXA/y9
osyhIblTnGXWRWjLJLvsJulVD+M8cNSq7n3SwDZ6JZWynzYO5ODIz3UXFzwK+o0NRdXdzHFUbrQu
hK0Gtn/6UI6K30c4MDBpW/uFn6letWgMdyt28QhvGnyWPshpI1qZXPSDrK9qxXdXrVN9NbnzAIQS
Jj0RREgcUb3po9nYk6yjKj9SU/nehAIidzLJI6NQsm1GGrpnt3ceFia8ft3YzrsFFCFk9Lioy9D2
xq29eM1ds84qU6doLrRCFbdijEm8MStIYhXu/gMRV+QdIQXcUPUZG5iLsHrHtvAjgIAH5PrW1s1t
41KUrXXRiIYSAAveVubxtLGdmUGyq/F6IlPV45QM1jPzcDpFbaIKlyn22jIVOV1HjtzdCKMkSPJu
/kos43WUSg4rmODpfhrJuxnSKAkDErwEaUXQrdIOwQJojqn2W7BFPR0sJWkSrjFLVFr9ETIVNXKr
yuJiKtL0IZJ597Wj9GTP1A7nuVyi+8Je2h0ikvoqLOJ0r6E+jXzbKOKzFhLr7FcldEWnV+JIs6m+
D8NCdIBG+dYeiOUxa5vyDt5uA5xLr5+auNFfmMzXL2UVAc92xclijI1VnKDwg2moNcXPA13YDxBW
vULdD/HUlpswVKV71U+xdVvG9Zu7NDA7EH9FdAhjsQRyFDz2E8DdIwckdK6zfM6fU6HSR5mO4Z5Q
AlqBM7ldoAKG7hEG3Pg+aDrDMyIdLtsiUhveUbnDHs5NSKQu3gCHsDyfrQe1DsBxUv5ie/y2UPVR
8WuMY2GszTe1K7MYLmCe3DUR0c6iXhoCPlLG4kCy9a2BkfA4glI8xpDSTnY8JEewZu45t9k5uJPD
xSS0b7mslkeGhQD8mCfx4cyZRUPY2fxMk1gYXPkjoXSpu1xrc7Vs4AaG+84Y8rtyrZPMheuqWchG
pIkLuc3IkkBR+QZJ4lWHMg11MCN6VLH/XAtZ3W5O9ooLTUphrytYtPXmegRVR2RsUb9UaOuKawhm
rcnU1mEzViO3Ef5A2hjBdbHTrvJ7y1neiXwR4w34yvTgxBWYBlJO5ueunNT0sIxayvNV69jwdje9
aE0XQQssQJKEPRrB4yWHpJFyB0kzJgi91as+8/9vYQ1tbHXadF6iaR9qLs6JvJieftf++SeTQP1P
4kjCJxBU2chfqcro7vzZ5K3qaUxJExnPjOPsDVS42NdhJLpTcdSk3ITRq1GY+yE1LszM3mlWs7Nj
fStdqKP9sm0rJFeDtofqSdhYsv/v39yfBoc/3xtGL30dH8JQ+tMMqNCHuhQhoASlmrOrqBXDQ/JX
+sl/9iLr4MvFx49p8c8HwE67iU3vMJ4TQ/jrf46W70q32v34LP9pSf5FSxJBNU3Ef92R3Hzkb+Dz
P37flPz5M7+KE21akh7tSPqBKBR/KBB/FSfa6BZdZIaOh1HGMX4bTJreF6bqCBdxHq1dw9XD+8tg
0pRfLOywNl0b+5foqV/DtX65X8jl+pdhPBAy/jio5JrBcQ+kSqzGLRzVf5qlZylyLX2BKTY7c/wC
06lUG0eZlIXgoKsA9G3R7VQ93+SVATl73bbBDPOCMhRqB76xRA4HA/0lpKgA0k7CdpB4YvyYOkdb
hUdpAAiNxA/2i6XUNFgxtAeZKW7MPiFwOSLLj/I12mL6cGafg5gQk2zb92mHFgdK43LOU5ssYtkj
aXPJTLCCMOUpDkYgQ62E7khz89jvYtZrIrSay6lGoeMUZg6g3U73I2/OoAnjqCMk4/BYaU13V0IS
osJKXlO31l6SvEAaU1N489Qv9z2dxi2GVZPBQ6uop9AvFFN7O8jonfY/H5JnqA9k9xYZAnJ2jycH
I1XNTxEm7kWUfarGpIUhvK7alAJVp60SEP51p3Y8Vrq7eDBuHXPidnW7KzbgYLUM9E+6fAiH/koP
mV3FU3lPAghkV/Qpfp6VjHoZQfK/4lTNxcmS6iUEsxNg0pwukHa9ov07OjXAKvAWt9mcvTKp4clU
VbRAtAUUMMotRVtqk0nV73pBFU2vJ+ASfJjMcEueH4nOobO+hdp3bH61V9ModRdXwBHXyMMkzvw+
ar38qUJn+qRPBED8ECXWEQgi/OGTjy6TfrMoPttF3ZCNtBxCS7vorLl+qyy9eaBxTI5oEhomrbAc
M5ehbvLRPtDkI9LA7urreYibF6JfHpyWrWM1Ncleb+fo5JAbsV1wvB8g5TPSyuVjviit9rHZPPK8
jS6somrJbIna4tbwwv67JmqCMpmgmredkZvnIqljfTMaMbVsFdfLNo/Le1NjAm02JTRNozLvaCp7
u1aGJd0ZHmUhdw4TTRClcQ7xeiim2tuDCwUlHSldp3ULP53JFWNcmjQVYfBTfxlFWtfv1m7do2uN
yaVVOOKVoFyyceYODVqSGsnG5lhWjFabEAA48SuX41zb3bFKhQ05Pu3mT2CeiwaPv6qA6XvueJWT
Lhv7UYmKLl/xmz5aJIqDVL//z0L//5MjCORkZQv865X+KWmipEz+oEH55Yd+W+oNugHrwm2tevJ1
1f5lqZfmFzQmFqZ7wBXSxrz6dxEKa73F4IkRKEoR9iwC5cqva73zhd+GX9hFrGagD3H+nQHUj1na
70UpAFQ918TbjREKmgtPpD+KUtaLtGLHox+kZHCMWQIrFLJfGxnjXKMhNbdTGb7OJUYsv5dR/Ch6
RcNJmBVdyag/04VbgbODuWOMpYfbxgVeEGPvuUQekj+AwyxD9tnyWIcdC0k44bTq6zfBHdMkZOk2
0WMLvevJIFDlZk0qyv3B0Jp3m4TwyyqOvBOwaPutFHWORATB7Buaab5pBUM8dU6lfZCNOT1mZlVM
H54LbTS9AC4+nuPK3TYFDrpoSi/RuCq5R5JaPtC2iJANRhpp1X1n6Kv4vgKJYtmq85eYXqSSjF/c
umH2zgphbbAYTGe9mfJNk8XyNc9yaVy23SA5LMRRHPRpjE6E0PdMLhyUDcwOsVtKWD87anYC5drs
m1Us5WU0JiR9y4XWBTrelyZtyy2NFgtZp2MHOeiqJ2jC811BWHR0RFuQ7CtVqJvQIylnP4WxdRTT
oH3t2jzZ9ITcPsaiZfVO0pxmwDLU7pNqk6FDRT9p3nZBfUf6aRqi6Ak9wnhBn1idcQ3OcKl3GivZ
Q1NL661XFioLiOfqqxVZEmmDrj+gxlmPcobbBr2jpz94hPTh9zNG8mWTrmK0pGx+fWfmAiIiPaJz
S/+6R9Ta0q8wUQwUW2kPPGhl7JUINZq6JEsbQfIlpFKW+x9/JMqJ8xoqh11O3Zd83xwX/Ax7mMw9
KXYbX8mhLAp8EUX4tHoTyGNBy33qBos8ljyOFp0MZtt7kgDf+qDsQu8JkzASn0YOPPq8xtIfMMTz
MYiETfaE9fYLgwmwYWbc2W+K1me7Rzrf0ISf2uXSK2deH3hSdWlEOhhueH58IJ4z/J6a1HIyjJc8
vgBAzBsY9XqKtm6UcnSLIVQMN4si9AlqyIqNPQOT38jJZWAq6b0Z53DIaXu0pH5Ex04NyeJHVdq9
p2nFhi5b+Noikp0pXFU3+Z5hbFevufJDi3ZVE/wDlFJ+Pepb/iyXLgWEZJAaGDTjxN8stWseiZoF
UzbFnJalJV/bAZUSWBpMG+Z8hriRyeCcfryi40Kj3w2aYx7HXOfarBE7JEE6RuHT2GSdRI1tR+7G
Go1h2TcNYH/B5E8GVjSRGyca9bWm4TLggp2aA1NLBMQRETLbzKzj6piYCUrY0OlNM6gNvN7oXnM+
1lxIeYrD3Hm2unTWnn68S5ysfYSckmQCOqg2b5a9JVeZZpj62WtywjUQyZt4NJ2R85yBgVvuuzGr
8Gzn6yk1xHp8YIaJ9tzNXnWJzr+6nJuKr705QR4svah1Vutlss8qjQvCQ+9BsA/AdfTadXMgh06f
d0mt8s9lsbkiU0dbryndgJgf2Zokh7IfxuqSkLAJ1ZHKJorhrIP+6Rnk8izOeCdGOd0MuHy/mlxp
IPCrXsfaEJcFwV+Wp06kOACztSUjNIN4PL+Fp4aPrCRHYG5a9+wIN7xMvdl74mTSQ4AQp9+l8dyR
b0H//Wtn9W3IxNCY7geu4n3Khn63sF2gwRfZt33Std9TjPGorXnoPOVePt1Lh1BnRupc2EbD2MCP
OAAnR1ggTMsiQ5a7MOlqMU5AQqOJV7YAIpKIPBaYi+5h1D33e61S19zqZSXXlGy0+r5BtvcxilK8
IOV6fOcpDp8a12UF6ak6ecFivB6ZPG1R4VE/ax3+Z6MmxdjHx6CO5pSY+yrHhkGYwxzdlroq7zAZ
YqQZSO4hhyaLjUevWtydhhniw8KqcRE2XXJIB6m/53RPn2TUT+5OsASeaqISP0w2/5iT7PmoAEJs
Z/bXQZVoj02qNU+xYbWbss46wqQ9mexnnUaNQe4fIWblyN+RX8PMgHDqSCwfq96RO2DM8VnYtKZp
/bgzHdIlNL/ONFAuO7LQ6wDekn7saSpfFbZBB3QcG/LhJ/DTQRIu7gkIzblxmuIDPQnZZItsiKiY
5nq+KOmsnpkG3OkF4CxaQjqBKYzFWv2UZ6zmt4tlxsf/x96ZbbeNZNv2V+oH4BHogVewJyVKomRZ
8guGUk6jCbSBHl9/JuT0Pbayyj55n+slW0sgCTBix95rzdULf9cySiD3AIx0U0sydzr4blLrwtui
V6wmBMIUyLy6i14QBBMNNMRav5kRm3WJeVXJQhgfQwIYHoc4U/fZYN3Gdl9fGGRFwYD27RICWr0v
3JZgtm5svZuage4+cbNqIzB6PEXGMBIZ4z3MkeF86lBOUYbb5ZI9V2AS4L5l1b7ntMYXf9hj8iU6
uzJuG1h7nLqq2N5kIhZX6NYzcijqVtw1cVluRsMVmwxaa9CkNI2CuMfpCW1HcCyJw3j4HFZjnq2Q
3dvpFutJR7hGnWXdStOtbNObdbliENE+GKgtnxNSehu2QlPcdKnVIR/UqkPvmDzVg5l+HtneTzTN
uzOyxc+DoutZMbinqzaMFY3tgvjGhsC4dQ8j6X4iyek0jal+J3Wn/dpbo/o8+VFZv4wtVpm7BLVd
dGrVTNXPQWxV1erJID7hLo6JNpTL0JlScLzqW/qQmBJgVDnq2BG6caMUGQ+NATYhmNz8z6xFS1DP
SUpi5GTcpUnbP3uJE64jXNq3fuUTwNMNkRvIIs7rAE1zdXa1UF6LsDaKddwJ7c6Spb12rW7Y8HG5
QW8547EioOtz0rXWyi4rxpyVOEqhHok16jdxynPapOJZN6JDOqTNlYZN+2kYIjPnO0dEuh42OsCI
OD5h0YluTK/srjtCh2EptYF0Sb6Mhd6xapbVaF0NcWvxDj19ZcRQP8GnGV3L5qediTc3diKJr/IB
xDa5jZ/C1HIX+GseKKO0GBq0ck2EcrbWq57nwCATKB4dNBqmH4JBsGonKBy28O3STqH9blTmnYfz
4tbzVXtfKovYK1Uwl2sIJFzJedxqbttfl0raQdVFHx1R66cCr+FaZ9q/iorJRgad5/dJWjIXTik/
tth/kvVoLGEnlRg1pjUONpWpiePbfFSId0wxPQil+tPUmOITYzoWKCcqr1mBesauDbmDbe7fma3o
IZ52Mf9qWNUJmXd9ie08A0BSNMOmKwu0NvFQ6sfOSjt0FQ6mm9A5eG3qXZUymj6KhhY32oruMe7i
pzTMw5WNJoiCAojOx75Cl+U2IyfmujGPDKxhzIqIiZ4fe1unc7gPLW1uJyAkCEW1xwxEbQkPs/km
5K1cVaNdb62kY3fMYh+NkZtnu2qwvMfK54331ajuw7R0Ye3WYbphO0RrkTbJul6koV4YBmJUpJCF
2KUDlcbWesYnc8K8b5lIkabuNCqL+b9hjOaWnxmv3Xykr+yy3nxJ6875ynCEgFzJ/HQf+232Wrlu
vfcVns1sKa0q8CsYNCdEJJZOqynLUwcFa11tUnRqK6/zuuuBqJZ1iLl+NfXEy5LkZZyQY/fnufEq
8yP7m7xuC5L3cCz6Y36btom5aqRdXrp8jJwLFhVzXtkak4u+Rb7ikbD6h9QNEW3RMiDB7QW1oHR0
eROxyTI5Hq8K2TSIZqQ/rlKaAXcNZcC1gfKIlXcyI7I/emLlZjOlxrL856jTy8scDmkV5FHMzLub
rsDc2OeaGYciZ6fW6FPZ3dEss/Y06vW084qEIDa7bR7iIT/WQ32qvHlc176BULcpm1fgVWLXt7U6
6oB4dyryHinUhq3bqDV+W+suJVMhC2gjSLlNxzzKjoinB31LdOQMthUXK9PWrChTErKc+dKZovpj
xOyOqB4ZeM8AIUcxS2iqx8R8vpKd0vLXqR+bW7IUGU7Es0o2ES677g+vrR6qDmiaG6iks0Jjh3Xe
1A7h6Ozq2HQvpZ59qphPxaciY0p5ZRbipR386hoFFzlPHs/CQQ6EG+HSneTGk2nsXuiW2+ITceYX
NIOBkkV4W1ZNvQXIhR2KcN5q+DTHVglaWHmRexsZVX3L7ndoc3bQ32F/3xuKfGFi9vaBRqAZtf4G
7Ij8oZuMiLrWVco6DCYnUTuJDTCRbvPFV/pvJwPvuvZ0XS1IWbaB9Zw0CcN+75yK+4kAEohgRa78
qzamdG9YmF+k1hJgaJTda4wCyDpHvdeRaqkcMySHUddAEBHFm7Hy8cXegP+x1E2uev2ca85cHZWh
+4993BLdRzYoa8VchJRtmLW/iEiYPgd6q53vDUcD+VsTR7dPuo4ys0rtl9Luh/YecbzdbOdW1xmH
E9RqWp9nzhNyFXojB7YIgSO1fsRZRLJiPOSuWT0P2dR84ZEpvnpoxe9hblDRt3XDn2c6Uj2L3BrH
q4izkbasnYIDlq6F5Egy4t4uaLRm50UlYST8QXVjlRVkHBXrzrhpoPY9v52Fc6fWf0OeWLodP8hx
v01LSJWBgmwJmjPLaOkHJIykQg4ZgZV7G2csJ80k5WyAk5Hj2g99on8zpHo3o/p2IciVlAGWZyJf
/flCWHpIESSaap/FGbe48vJ80xY194fvHvlpCXIhzoZ4bBhal9XzP726ByaNyHt6/D7xNsuz/8Pb
rLRJB7YylvBhKuOB4FJvndTJRP2YqX05alzVaV0OARrk7yr49cV1hiXvPmTmUoaAX64vTMH37x2d
gBYSaV7uEYDw2/sh6qxrV9bGQ5E2HJst3eHN99ZUnnCfUKMKVXQc/IrIzfaRNeoPby/ov3Os38yx
TBo2LDK/aG/+qcButz/Osf76me/dTf2D5ZqMUIBPA+ayl7nY90GW+QHNvUubktvF2NnhSt8pG4y/
YC5hkHN5+FnuWAn/6m5aBmwOGLVY5ciow7Pn/pPu5rtvMwg7W6fhxyvkIhYRTj8/5oALujkpPZve
ZkNYexwjWYkYrfzwmfwfvsqeo2MuoN3IbkFyknj3VQ67vqbhF4X7LgUBRvUAMwBpTfm5aPvxNndo
yWRzLRWOcZb0X197uV8/fZeWi2Nu9ITPx+byYf/8FmFSZ6MpPZ/vhU8rxFXNsO5HnevaQl5S3Shf
IsQWPt+exFxz4kn+HAFDEavJ/rHOlL6kaKYJJ0wCacxaq4+dLOObhkRSbcXh2V6Rj1ptmiiar7vG
DS85fcL1/8ebcC3eADIqKIfvFwRBM8DM29nf1zP2dDJV5m2u0cRK3GH6WJsASEJd0nzQciZUuqAn
OPg48O0ymnh9iT/eOoUx3pYNpjvR097x/XjegkfJDmTeSEQuNC1zTkNbhC/0frW8+O3u/W/ug8dE
H+IW80i2sJ/vQ2OZXTe5gw+IsBrWSqA4H3s17dwy/frrT+t9XbLccXQh5N1AR7KB1Px8JTqqTV7p
XKk3I7HHJ8jNc7z6qFqzvhM2kvJfX+/dl4i8MZ3nGmP80lH/OzvL0Bu6shpq9j5K1B0rShPQqfN/
A9t7X/xwFcbNePfAhUIHtt59fr5iuaAV4u2VMSQ7j0+tItZ3Lxvv4ddvZ0H4vP/GQORnHs0Xz/z7
opBGuuEj3vP2Bq6Uw+yCJ4l9npkJ3fQa0RZ+P/j2DdLqVl6m3vauYJtJ4sL18BLD0Tkxia7v1LTE
gTs9YqFKT2i19jrJ3FFWhUdq7GmX8Gx+7COXNDBzps8WRCQtYziNuMhYWUAYPCPZN4bTfCKnPtn/
+k1+w8f+WMjwhAidpQHJDVICmnQ/PyWhESIFndUI19bUOYQgE3ejsDlojDW2cCqNAKHb1zFT2tqW
mQp4eNM9p61u2+tVu5WVUme4J+i32sJc104hPun0hs82RvvPLj3uT3btbJQ+GPc6bVQKdDrIKLbD
7MEQ0t+S0IqjAIkX0qfCWBfMRXdkMOlpH31mOUM+19r2TdQZ9r4HEntid4n3eRUaGzNykr1GHCvi
+yTf0LPTd41Zeg8qtNNDqqX5usA/il46Cl9jNp5V3kimJTBWbqpMx3/Qz651lXuwJfpwyb7pDYs8
c4IrOSGX2QqZW7mXqpSPbVOsMmjlwDsm7cb2q+nLRH874JDabiLZmjs7JK+UNnDMVF1WDoOa2bqz
Y1Nw/GnyT24UM9nX45JUQOFP08pXMQUj6AmYMkU8PrleIddubqi97fvZIZ1wjuK4cG4Qgnlr7NiF
j7s0GW46ir8/ipRaUNTNRht9mD6h/FOTmnetYb4k5zKhg+qqY54juM8cvd5Iwz8wDirO2CtpONHC
bINIER4M3h9/VYo0OkS2mAGUgRaiBU05kFifm8927AyBxYTgEMkc4UBYTR+1TLZo0XIxnxmfMPph
7G5sBPvLKs0Hc2eUvkeb0zJf6Fg0tymfU3FoBfio2m3MB2lti7jiiehRuHW1ab4wwSi3NHA1IEcj
LrTSKNTHYmrofhOBy63BU9OMJGUOU7eNY/POCPNuw9rWH1qitoNJoxO5mJi/4AvL10hNqzvSO6+T
0EajO5Bx3UdZt+5CuZBW246ppThWBm19osCtIPXHiCj76BrR4+eYefo+bltBp3OeNuhWP02tfDFQ
b68HsuBXWuowTSTfZouVQb9y6bkdC1v6QdkTHZoL1Jjd4ptoeyKTXcKXWaK6YaXnRbqyYIicNC/y
d7IZi9WkeeGzVsUTL2YMtzEYz1XMeLIMlMByFbAZ4a2aW7lNIs8p1umQMMwD4rNTTaOd7LkkY1gr
SYMe7eklHRpBT79xUe9PpC4wXEzRn5C3wzLV6PVpmnTrEBdjttfNROxdRBU7ByEhXmq/NmZJ8icC
B2xdMWftNiaPTKTFq+qtiPaS3n1x3GZ6Mns1HJnK9AfZo3Tso8q6UjRQd3Ur6UCFoj90zHkQKEoE
nOAlI9o9qdvohyLx3RnzTk2mWi6iHD3/PH60elFsTWHEByGjaoPW3FqlEw1DrD2oNzijXiUjwx0M
3GirS/41LTqJ48UZ66NfoeJxym7aaQ4Uj7oBqBvS3Pjat2ooz4KT2Rq0b0/MIu4uVRpyXS25Wwnj
1Z0+w+MwmFFvRA9miXesjq4DmooBAlm8sZhOcyuaT7M/WDckT4rzlAhCnmXYOkxuSTTCIAOp2s+Q
FqFUV6+xO0ZbSG3uY5y0xVVhu/qDJqgvsrKKbyRM9oW5g4CkHBDaESjNq0OYS2CILihmhCMv6Obr
pzQ1IeMIouISjbpQs6tpl0md0ZtVyy1BxN1jyWD3UCd28wWCkdhnKbSyVPEm64ryy8nK8Dj7KGjA
e1ZnM57DI80fdi6cF7BmoCSv03LJ4lU971wm8Q3mgGFtdwCC3tBQkDKim9mtQjht1szPGH7WfIpQ
la06ZfJKZOfTY+qJ6gg1BzVwa4KlXbUyxV7ox/YNR/QMYUCT7KqWgZdIiffz3S48UqvYuINo3FJH
qmOPdiHQzXj6Sg3cPya9Yl0vjfqYooanyWRbxk4Xeb0LC82mj15ql4kLxGsNX0MwM1bhZU+x/Xkg
p55pihO3F+FW/BNRQRcljHpNvpv+BJP41DCi3rkotHdNihoNS58wT/Yodm3NoqCrzgTTXFvbKq7H
Qy4Zy2ByjXGLhPGmLLoHPdSM1dDCYLXlYG8gQN2qsPAxVMRRv1NVP8U7Pn5XvirLq+Mr1eQ1TKnJ
boN2LLoJXgOQHmUaKsSgksMvYoTbREHhGVZ8HgdjzOdvzYP/Hlh/d2DFIk05958PrPdkzcf/Wr/I
sv1Zk/PtB/86tfoOcknoGCRxYuL+Zu/+69T6xoVx6MhYtm+5MI6pvv/31MqMweCUx2b5/tDK8w0/
31kwwstZ958cWg1zqXV/qN0wnnM6Xso3R/cNDkTvajeaYagYwlo7Ifrs7+hU5ZvZIkk+z2a5cZdQ
LjH3xoWcT3x5pTVv9H7ygfl58Zq57vAwSSc/mQ2h1XrdentJeWqTe5EW5FvqKeKQIt7INrpElbm3
JMOE0FLZyrKKx6GTt4OB1lwOkbfScLMGRI2NKwxMPtNyKqXGkoK5gZUZ91QscVBVhrvCA5KfLcIp
Hgq+xUHjttYai0v2RWhdMHnmx5R63qwQArphdzf5U3tJS8fe1YNtFdDmuvySpHN3LLEPnECq9WSV
4qLe9eacrNMMess0OO4hj0C+p+ncHi0V+tu2YbyeynJ21hEfJ0NWpqj0uaeQE/CImc8da+Rxk4CV
MgslNqKyYCHatX0llLfPMuNSCTKyIcDp17lkTBSO+TodfWzHHjuGjOUU1DV22lZUCFB83LJeoSsK
TwmQYyCBXTKw5Wbl7CkWh29bc4+4LVAJlmEedJZbbUdayMV+LJA0YOtDKoJY4762i3o9TPGjj9Tk
45DbzmG03P650EsoMg1GUzGZZXiu1ARjJSvjRFFmabEuTn0RmvN9oUzJzp4Mpae9ymzU3Tkos06b
t53TpFTzRdnMK2ETXRdg/61Zqmx0RTUUrrMf+UJDZ1kTRQxhsB52OfC5veHaoHooiICkQFi4ga4J
LQBCXRtMiZZTb3tzY/ZBGyX2lSuVAAo6JnKjyRnCVtuD0A/SzpJnbeIIrK21fByjGf2SmpW6LtHH
aHEWyBJitR3wixr0wlU/FnNxdMOiddRzaYT2Rc14RihdGob2cHdUWzLPugtbme9gYnouw0h3Jo9v
64exQPWBNgf1rM9IGpjH8Eb20Oijg/mAA5MB/TC+IUDEX0QQ+Q0QMiTFBC4E6TDsENq7+qfSAygy
jAtbZHrjjOC4hjkiF/xI8kYi0bqFSpIsgJL4jVVizAu3pF0QJvKNZlL49Rd7jup5XdZGeCmyGCgT
7S8YKOjP4sfwGxkFZ6e+wgwvbuZ+cPpt9sZR6ZDMYICnN3OcFtBKuSBXktmFvgJudLpXb0wWc8Gz
yDdSCwcw83Mdg2/JFpBLvSBdnAXu0vYYjJ034gsvQFzPUNs3+QKEGRc0DJFq1a2De+fRHxdyjFsv
FBnrjShDXok6GAtmJl6AM17lwp6x3zg00YKk0TWSmQOxgGraN2ZN+sav0ZezAlq09tIteJt6Ad24
EG9iRlU3Pme+h/ANh/NGxqkXSM7bKv/fDfE3GyLt04Uy9p83xEPxJXkpftoL//qZv/ZCz/pADqJH
exRV4rdd7a+t0PM+0KJnRoDAaDEBGP9rRbD0Dy4JMvRQXHhmbJf0jL7LU90PLv9j+TGsA7gVvH+y
F2JZ+XkvZJtmJsZvo7dMT4Ym0M99jM5o4mSOCZ1m2YMDhPzjxU5DQGAdvMYqiNkIe0b107xqOq0f
VjIChurEKifzPbTGFUwlCWw16b+4QEJAjo3FZ1+kiLQjX0ZJwE/l67EM223OUvQ5t0PzIBzduFHJ
4LRB2isTfFZGcB0jZgy2aN2JaHC8e5d88osau/5G9C95qTiENjEtBYbHz6VMeo3jSVbMOymq8QUR
eT4GCeO8OdDMyAjXo4+7i63HjeSmcmr5R6zBWcKTkC9CKmrJTWlMyUHyDWWknPndNUZKNPWdYDyE
fNTwLDYGsv5WCpYaknQvNXc1bU8gIWhnrszU7b0NWeaJG9A/cEC+abJ8rZqqei5bDvmoeMSqMxE3
YbcYXnFbF89Wm9jZCk/DdML6W99NVRq9GLFhBCjUyyAHSQZSirUFGeFqTLzhPNtjeWubU0lciofL
At3k4O4yNoazZ+bjnZWZkIendj015QFiLmoNhuGrvuiIybCm3WAk7q1eN74RpGb+OsLvRPyee7fk
seEMxXpyb05DswbQ3GysYTL34VzpNGw0XNN2izYxhch78kZmyYeZ8/CxR5spaQHYyBsSu3avPJEb
xUoR3vxo5lV3zx4FqabThznoZK8/Ja4Mn1oNizJZH/WmKHztapjh3bVQwIJynqwV+QHz1Rzp3aeM
DPGaUiBXV0Oo6lPMmfkr8gUCeKOp1eS6yXB591aRbaqayKp1MfjYlZFX9deZhnYigLgtX2p0aZsI
kYW9A3aKuc7gnP85TTO6LUNYs19IglUwx/iFvqd0TC5oDc1P7GXJnT/bXI1AMXWv0+7Ysm9YJ91I
e0E6ZRkTM9pGgAjKam20fU13Re8vUYyOysnT8VkrInUEAOz/CRTDVVtHgELgqDZ4CVjj2r8A5sPS
07RRqT2lkencxigy4ZJ4IURxRGXylQhzctQ6GhsbZHL52rcx09e5XjxwH+XHQW/iW3dMm+tGn+Kj
q4ze3+jlACUmLJA6O1NEleWl5YNn1uKGJF0IxRqChyu9jKzrure6coPhsDqnWNaSJhhyvuVPY6Gn
FraXyPetJcYds2Z19PtE8Ley0KNv+fZT6oCl8EeRXRVCjEWLSFFrgQYPwF6IyRbhZRp6czrGdpzu
Ib7d6l5K/8BySaY0EwgylvLvx4xvz6YBq/4chtjn9Qzd7trtoBetZGWUaCYb+77r7K6iONLb1WJn
WcVFIs4WmpyrFjTQDqgjhU7ZZCAtJlyYKII3nglTRPF9uYQNvJkgAbj0cQwHM0cy2Yr01k2aOfNJ
iZ87cW/NzZDTjqZgtzGS1Np+6NSjhYLmDrqaLzGzmsPBVP2xjwrnuqwqAButpB4Yl1gYsgnuKJmM
Q5dmNfxzOwKC0mR3gzJBvAyU9ZZMk21o+hmnCm6kyfGdXIQEp2l8BigedHB8A9EmV316pCzjN5la
vevcsN74ifHsYJsl40Y7pqlBzw/erg5Zl1+jDauxbqxH1GDWIYRytNL5WLYQ95ubRFjPPhaC9TCb
AA2GXrtOZz2EF8BqPXXiU6G3FX7mkJs8fVFNf2pnPsOwFac0MdpppQPe2yJ7/ziacREgE3303InD
gVe92tyxzZgYFzEpfx0Svh6Z6sYZ0vS2rYsnLLgoyKYTZFqxBS943ycI3vLRbVeDmIB/DLJfG0XW
08EcYQfSYZBAUjj1dH1Tu5gDnOsaystRmYg/yTvfTr7X7wyzh4fVANgNLDQ6axfz11FFZJLx9qr5
GZtzcw3e19o6gw6VubNODnf7SkSKdh6JQRcx0r0Am6ftLBi+TNzK+TypMA15fvQ+8BK7uqunyb9g
BsZYhvw+uwNsP9w4vvriljHaviTST3Pu1xutQQ/MKWfEjtAXtZYHHo/fgytUtCbJqVzXo013KGny
deRE0zkbZ+A0va4+zvRWgPfB8zD85M5WWs1XgrxU1ffNOVcyXwF9ye/7LAzvbCO0AshYKd07Ma1N
bpMfimEtDTN+ycbwhUTs+s6o3OHWGP3xhJ7DvDiJX9x3Q5mvWtM5Nhw2VmPHo5Nq4pPd0J+0Nf4S
p2NILgGv1JDu6zD2zcXTfA6Z3ThtzWn2t93gZl8dSvfzPGyabu6uhhbdITbCxjqzxmhXSL5c3PUo
Ji82Aot17RbyhB7bpJdpVDt/bOJXK0OLHvhlA1tedhcewuzslyK7BQy55IE47iZx5mat6+LWtRoL
TV+qDvlsmrcZk+C11k3VjU0kt90rB1KOJu9zX+JcaF3jUwssYNsQh6XzZMQyWxrHhPBYbrGdEoMW
PR6fnV4pYEq94x/tZpj2hZeMB6dlixzl7Bw0sM36t0nrf+vk39TJqLhosvznMpn6oVXJa/uv8uu/
0MB1+R8/e7q+/fx30YPzwQe2RxPIc96SRSiMv4se3A9s5d4C+GWxXAy8/699hEeXncmnKKagXUbE
/K/vNbP3gfk9rSXfcxjY/UNL11uW7w/tI6RF+N+RkqEkW5xib+2lH8Q9ExWvHk+j2MuxXOXR1yzS
bsYpPKR43wsitfJEHBsRsiN1TzpMr9Rsvj1m/9FBvMS1/NjBensJGNd00+Q9M9d/V7WXtuNUnsd4
uqR7fQ6tpwnjQ8MGWOTbSFK3i5aeu19FRWBl2O6riBauYRWbwXgGuLma4S5UWnQtZi1AwLFtUZ9W
rn4GJhAGFlggyDFrrYcRIapXggD5QyQ8FCAj5OeUge7yjxNDICuZPjZzuUtAMzXaZrL9vVUSVof/
wbmqRV9MwSxagOwa65O5FpSmk1kQvknngWdiP4LjzSnLLcM8RSw71MHznYXBiREhuR/wSHBmwmBq
zWbTyCvsFHc4PTrO2VFgANS4c/xnnQzqJnJfZqY7G7yZVIDmCjrAKq99NLMxsuCMhhWraycvoxY+
pPWgNrLJN31bfcZ4LHZJ1t1GjXsihuWPmUW6TeWqdoZs58y8DHrXi26zeM1HizC2FGfJJIbXwopY
4bvmCukx4BVRrSqn4WIz+fPmTZSTovTfQ/j/xSVKaOyvXaKXuPzy578OTfZSfPlRS/XXD35fVvQP
aIwNoM0E/5AvtKwd35cV/cMSDS5Q+CDZW+RS33vS5BXhUGQhop39Fy7gu5KKX4dcFmkm1h/7nxzC
TfGuIb3IIT1CQU1eA68LlsfPh/BaRZ3KfXAjmktKVjrF5T07XYsa2PPzTWLYT0PeLwecKuFkRaQP
XqmDGNwzolUAN/kcU2I3Vn7n93lxS3riIyNFDt9VVqfb0kJ9OHcaklYYYytr0txtOo24+zFDVUsx
Zoz6bQrt7MU382se+2tTG3ZhW4XrVtn+qqOBima8I6lFJV870SXnnM9xVbtVsXRCa4osbw4oe+ja
ivlU+uLW0RtSQNTwUo7DyOBHbSYL+iLeoq9NxoGAL/20ZH+dXXPcDRCeV6xVX31oUQPHqXC0Y9aW
bmsZ8rqb5lsrnU4i4k9hM+L8nbxMFT7/sp5f7VYes15/JfP6qZ4avGpM0FQem+STWXsSgJ1gELQV
y2Yhu2veWW/NJ9lnL66YdeIBh4tAzr58Am2O5MmS2de0QprV4GHdmtlUrs18oF6NILz0Q/8QmcPF
K0Zn5RlOdFCZ/zpABtzpsUW693SSnVEe5gxpqzY0fDBiwa8mRyPuyFOS44MTT5ehsp5ik4iXMXtR
dfoCaPbsxuaiCbU4hPOGBovIpna6tehcbiez3dZ+VdNoliSwMuQd2ziHkEcjwyj5oIxYkZ5hQ9Fi
LSMnVPogPrUecWeVEEahLZ9lnL90+gQfYZppJg/lhGADNwbr90ar51uG4LetAcA6nk+6h8QJLt2p
cjFNEsz+1cz4Y7aeXEs5ngxuzh4SPea9hHeINeERznwYZK2TrRPf1Nay4UI9GvR1zDAVPmd6JN/z
UVl1GMT2+EDM0XqcioHYSdWuIfC9FP3gb4BPggufT71BIksaq+Qsa/cpGcUftNJvoLcygkVtPxnt
frY7ta/H/mGu7T2+x5YH1dxHOfdIE+jsmLm0QdfNJ6ec4s0A4BtUum4efZcnYZw5ytYQaoKqEY+E
g736JsIOnCgFzffsSCvhoVbdgzVmX3M6WSvhlO0aa8ODGepxIBOQEhlqjc3saNAkAeVhUeNz1wvn
zG79xLQd+KplnyvUl1v6Ug8m7xO6hMujaDr0Q9S0d+h4BIAQzpWhVZ9hRJIShgdxrUBD3QGELTlj
RiHJMJa9Inaj39fu1B9r9OKHJne8RZai3ch4yjb1XOU3hVZNAOKy/pjHdbMytMx8bfXm80TpfKV7
siJfZSwXrzXnG7Z2FEXmmpig4SV0S6plHEW03VJ4m4+4Ah7zb7EuFmk7eBlI+4jDs1XIz4qooJUc
OQPGzsRUKllXqBc3NVIXHQGJ4xBiQNr30VtyY8hpOmcEyRQlcx0gqY/lkjHT4B2Em26/jMWkXovC
gFqlpfEmc2ogkoCJq9l3tjB4u7UxleGt3jIHjkg4wshgvJZ6WQGry2lM9mLljIa+5dTBfeM0F3RE
OAS4HwVeI8u7QX/e7UbskAFO56clua0z6uEQ9uorbseT5cjjDyXt7bcK8JcJKfRjOWLTrmVUiUqB
/eVH0XeSgvtMMczurZ6JjdmRx4mA/0yT7Jq8dec3qti/Cfq4ms+GxixfMLV9z5DxLUyKzuQW+4iv
OooteYS4EaM6Y0H/9ft6X2x6lNRYNVwutsR7vu1eP9S7g+uOZgqIb28g6fFDVsNlOU71AekdZV95
4J/E9tfX9Pmsfqyx367psYGbHmJl/v7zZxmZBY4rTqDoL+14Yzf9QznyxdZMaz9o9FCX95tl80k1
rG6/vrT5ns7zdm0OwHTfSV7+m0cBQfyAacZbEsiVieKDbumEQmJZLk4MWuVe+OPrQCDRFm1Kf0x7
AHaKdjNaqul1KaAjRIwEBLHrmvbe93OEvvAIYcmcBofl23MMkp4sntUyvcZ8t83t/oKf6FHYMZlN
I9gEL9NWY0nwpo278DkCwbWywHb/5hjxbx4hhNXCIINFF+jF32lCjQxqdcmpYB8bzdYqxS2ettt8
Burz60/036SSw1QiMZvSisk+k8Cf76Y/AKrhf/Ks+pl1gKtwO+mJtREZi3Dh+Om68bCURXp+hzXt
lplofhcv9hBrjr7WPevyUqqkAHYC3RhPUMcQOg3dg+Y7Z7pzu9hjuYf3g1UmijFIjcb4FNnGtMtx
MNGvmpJTJ1RzKeT4OCq2fWjH1rFNvHzDDKI8WUXyFbooTkhJjpcCAr4btfRrWM6L/RljzhKGyCw/
nuBg04VcRXiUITCMJ4Dw2cro5lsgw0vIHr8bIeBnBXxu5YKt+M0HuTz1778VQMd84rI9IjbfR8TO
rlbWlmYSVT+AV6WcGFnZ7MrAdD+Y+1/fNOvfXAvglcXdIqiHs+7P90wxHQGrQJ6yLfuL1STHvPzd
gvnm9nn3flxmPUyl+KvPSOXnayQxVvFMiGJf+j0JaMlorKxwfl1W+mQ2p12rwqM0rD2ZV+ch9GNY
ndlRG8NPTZr+4TnYRI28V5wVU3NPWASbrM/qVE35tU4QIbQAc+OGoCQz05nJI8EdD9CqucoSGPRe
9dFr+c9kwiFunZJpldn/w96ZLbeNZFv7Vc4LoAKJGbcESImkRImULEu+QciWC/M8JBJPfz6wuv6/
7a4uR5/r7o7oURIHAJk7917rW9QtaH6HoPXbZmd0qDNMNH43NCtXTnT6u11xC7Zpfj/N+SG3YxV4
TkaBKiTVryASr0rIr9SHS10ZydYyl19EBFt/8cRyLXzc4azDFia2H7+wNXdmBkVV3YqCg8KUlJAb
CdbhLJzzmRO+gZRyKyyUd0L0QGRc3+mbhbkcIIsX4iqrLRhaSEkROq7BEXU4JvorLkozhIeDvWxy
TtFImvUY2acEiDyDMFaipgbs6GbqRTfkt6VfGVrp02xSHfotH7gjIzFP9BdFIbZpoqS5MQt54zfy
EtugM7OO+9NqWPh6h1hfnN8ZjPTCvzHs5cVvuun+72/cv3hI2DPWf6y6euPavvnn7SpuXUzfRKhL
rwopceaNK3k7lg7Fs4l/cUVIu/jX58RjF2ZZE8LAMfDTItpapjINyPUI66HNCJgYoRdlh4idyhdc
n6XmllwUByQmqQw8MyrAuLjHwk7/v8aMXFd+E6TgNra+gzgiLbDSVMoj3EDcaZP3AC+2DzATZ5u5
qk3Evv03ZgeXuVBHaPBsxtxmsZm/R3KtUokTzKCYgnpBaUNQJeUqfY6MFg+X9Hq8XKzZDFObH/S7
/OBoUMeyRk47YvSItUDQuZ8hbFwPQaRl1KSD5vWhGuVzOnCQhOU8BkvLUc9e5HM3xDqNILRL5vRM
M/ax1dKDaVKtCXcMmWupcP0P0F9bpkPrDdmMxBtZYEvWx6if7VPtymcnXg8Qdq7xPDUEDrRUS3qU
3c8tIm634adBe70y7+ERG0Bh+/b8rRuGUI58wShf7nFHloE/U4pbhfWaJRO8VwsuZo36HUSrxnxl
KZGMdjEPMO2cA4fimzJiZwHCwY3J0+HI4b4Q9peEPKBDLuwTTJgQ0aEK1oPRjDf3RqK4PuKsOhWD
9Wp06a/2Y+cvHm9qHTgV8AG5o352OhUKwjZNR+LNXfWNvKZLr7PvMRvheMdjvdZf16N2jaKKnh2V
3vWZrxKMN7JHmpnxa21phvlQZVs/90OP+bobFkPcBsz+q60/j+q2EMQzTmkO7yBmiIJAP/7W4kC5
JzM0CZeYfXFYEv+uYi0PEMicDI01BkLay2RSbumdyYhaT8dgjonBKjwq65iDIfthYoKfxwKGGSIb
n4eJFZSsskvncST1x+J+GseLZa/YpQKnadrlWB8kjo9EPuPFB/kntIWJh/rmQLPbdSQHuZwOUNg5
p4lNhEPm+Gw68+NazQ/un/vrf9v3v2jfr5U9e++/798Tbg6I7UeZyx+/86fMRf8Nq6tA08mKu3oO
KfH+1LnYvzk6XWrKaVpvLs35/9deM3kA/uzR679hprHQoawnDYT2/0lHje3wp1UZEBldPp8CBmu5
YV+ftH/aBHyjrkjk8Ipb04vfZJ7Mm6HP6y2Zmq+V5jx1k3Zb6WP76pXilcQ9SkJXAWWYDrBevO2i
tcbelKWi5+jTNhLS3vtjXtzQbW9CV2urAEFe97tiTQvrxCWs1uv1Ow170hcebf2iGXA5FqCEIVvh
EjReyhxYq+YtfaQLAE/vUaK8zD2UjZVMJX9tpMWMPmDba4YRKmACB30gyW0qH1RP2lkzIBrFg77v
enc5231khyycbkBPZ3w2UmLsVvnKPkkx9lqaODP8tW8QGXx2rDLdGJJeNiiK5H7QU3HMTN4TZVf6
yHbVbW3NaR9RMBEQULwwBNyM5oxrsXVsgm2nd/hKoHnMCded1cxfcdTEx1yiaDN9ENi0GJ0bxmv6
trM694ZAGHgwVjFvQWJ+DBmYCmtEjgORAk6bO74bk5KBNnBs8vOScz5C9GzBLbgQL0OsDTIX0p4v
ZdvvhkLtllp7iFYtx6i18y2ONQottxYXn37F6zDZzWeAm7vSl2eYnOUlp5i9Swuvo+rw3BwDPWtO
10Ds4fRFw6CFTfRKekx6zk1YbybSBUawFetIE0/dU2tq0RN2KPto5WpB11PaULcGpyXptUlPXV3I
18g3oBPYuFnm0swrXAmjxEwBkylBornt4VXv27HwzhQdxFgUJvbqwpjs28H0mjc3zaiuED8UL1Ve
kVYOJeRGh9tCewUEHaVagck01puO6BvDC5uUsAO6asYoEJ+wgfVGUx1IZIsgwNY6wQbaAjq09Sq3
pXLIpbYRdZmSio3lC2Gw2BmAlb64BgyycI5icHhGCuYN3tYTYUslQJu0fhJwC04sq5yEZObfxfOc
fWmaCP8dDfM0Zp7BuabMtHlLsCFnN3tKIfsR6kBb1AIYkOJXWFBS3JoQmyBkELQTdiv4DhBoQVmo
9K/diEtXM80xC2JGhbdxV/MzCT4NvkC6jLMCzcbgTTxPgLIOBBoDDjNGNYZ6FatHWoLFiz2S1X5L
L4AP36pYXYiJ4z2WtU50gAP2rmcuRtIA2R0gBgv+IJzWpAV8klZbNZWKRJKyeUt4/lCYYcnczDMt
32hOoZa5CWqGRlTpiZ5b/5G2y3QjCLf6DnltfozGunm4vrMsyhoPlZbgzxeG4Z7jhbCR1IaBD/s/
8c7WzD1ogZT4vSgTC5MTFog+s8jZcZQDsmr94INZqosa7eETzGx+sIgyY29DhuxDDzz+Vvf7Ce6Y
lX253mmweHm1JfancSOUYR9ToPVbD0PygySLCfMRULjAXtrixcJ6+Zl+Z1pvh9Jyz50dW/s6j+YL
p9E67DqqPSMeXeuWbFJWvdGqYPMvK4kwkvQ1ZTl8DG6Sniq9dh4YiqgjHTXjEhFvcpGoHbYJdyQF
rW9HX3yDVoG0yyQFzzvzhyaPV3TBlhCslGhP9dJON4uT1U9t3Prs+TAyrlerlGX9lBK54MGNQZwc
COzRQc0AlcBvy74TiFuijYNNcArJDUk3I3kLgVvgaFsW/iX1vDevs1RgtNQbVG+nvkpOE8DkUeuf
pxYs1mTjD0+9DRwOXIPevTGMD7qMH+kbUrIMeCGz7ndb+kcfRMxmoP9aGe5l7s2dOSU3HAxf4q53
Qlufoa3BIuJgYzM01DZGo8BiGWvOGfsYeWhmPd4I0qMuFsj8XmTi5Eys4Tl99NBxGzMQbmVR4KtT
OvuhnOl2kBVlVu7a3NTmBzEjMvOws5JI76Frcup8RelN1laRZr9xYV/dImNqgsHLWxw8nfio4jnA
FP+9Bcx05AjWHFH399vKKMXeNOxvnRhQO9hn0KQ0w6fRfDAwc75psfHaa943NaKIw2VU7jAL0flW
MDm10lQkGS24Czn4TswynfppxN8bgJNePsrJDgzgnVT9Sb/jFIr1b0Qf5uY3ZjYkQJQWLnDqEEHS
ctLLpMrvIPx8chRMS9dvEVqqcq/jTL6VLMKh7uEgmys4Xro/HrD/NDutrt9aWCnrMUe/U7nuHjpu
/JtMQXGyp+hNFyXADIpWJhm/A/m/NKnnfk8N6NWWbPUvrqPVocjzZzrf2btSmgmJC0NgarZeoI8Q
laLex9vgR9bqYV1YD8wJ4EW24ODlYGdxVgvhGD+1Zf8BDzDa6pWnTnPSyQbX7JQOnD4MXRHz041b
hLHVXS2cU8Gaf+a26jBzRuLRRNDImJ25WFCOa+1a4buzeg0QoTCa772NrG8pjb2in0IPqXkfgXyH
rdf7YSamV+SnwL5rdnvARDYOvfGbbulvQH9udNVGqP8atUE2NKFwkTmJKLZ231n2p4g0gcDhMWQs
U8WvYBpByfRmONBKukPfHm8pEsgHdOk1unYqPuXQj6khoKEHveWogxwixtiTQcs6iKfsUwa7coMs
p/zew6n+PhBzfvA7gjWquI/CetJofzqW3DHtOci4NLcoq/STC93qzNFmJk+9pbIyCVCTTeedmqmR
XypdFV+kIcwTJK06sKmwNkAFyWTgKWIlH9LRReZnt0GUl56/ceYsvpvmIReH3ogEBDsQkKin0Ml6
cVvqPBIxjNpZe3BE5wW5acwtFxFvZ9TFGjyebLxz7c7ijqmQNNctvTL4PJJtcB7rU+0J98BxCxJ3
a5fbqG+jF79Nh4uEFJptl77FrDH4lUZys2fvqRRyXHV1u01nqIdAtGtgat38e1UaxoMo4+GTRNV8
2yRu+9lpVwgia2EYE0oWSBeRrWY1aUCfZZ+XVGFMdLWDXrOANcJob+vI7gO8FlmQEdiyq1Ph8baK
9kZZxVe3R4fQd5Eke0nT7/HPdQTUAwhsDShco8RESs1wP9fZztK0G2CQToCm+i3rOnSqoL0IAub0
Crk8F5uU/KVdaelDAMXNulnq5X5OE7Lk65U5OSKCtot+elywMNIRIsatdmhDKPIqn9qsB1hm5tob
pp6TqJr+u3RTChBHDTu/ceLdWCAs1MwWaly3+m6JFdwg5jEQuOoXdtD6ocL8u2l8jH1EYdgvtFFv
mBHHYY/vRkFRPiEwFNC9vexGVXhtZdoHhei29VTH39tZ3ZgDWx5+RBCFaYYWRJ/nQzqJPhizPtrL
NrpL4/aCGBFoX+Rle7U4xP9kUHKHMNOSXGwdc7n4RHeV4uiOpH9N26xJCtHc5KXMYuZvGfYhY+xl
vOEDW0Rc+xqmipcYj4e+yX09VuA+QTDNe+i2znJnU6rkHHzL3N6qPpvC2UM6vLHBv2Zo4Dj21mHp
pKjX+nhapwQ5YHmLYU1UG2hny88zQXWa7k+o5H3CdmENPkXugvNMLf0pzsh8yybbuh/s5bVl7rZd
GudCPgmTBaaZF/i/iFJ9O3tgJm9/xfWtgsyolq+iF8O9JIFvl4rpO90PfLq2Md1708T8z3OtgzVz
+tnYSf/oy8K4k67TXmJKlS2JYWaIVuALzUhGFeWYvcuBjmeqdRZd+yg6lBr67ThjxJ3DnQqmKcXI
1ngMSqKmgABspTcYIJ59bVgVANZxMSm0iyL7cA2o+lZbdicYcAHeZcBbRo+eNPUPKl6cimjiq4Bb
dcNX3ZLDh5vbGQFoVU8d31u3ppPa+y7zn/QJQy3u3Wlh7DwN+X7BnozBdbHUnZV22rkpyuVz0enF
fZ+U3ziAYjHAJ4uuWA6LfYSdXdOmSr61Zcmur7Xlhzs565oVDcNurMji7gSGA8oXZ2uAqb6AP14C
aqCLCY33wcwWtODga80DgRRt6CoInPNYyRdnlOOxbczqbiGxvAlaNRQPedW6gL89M/latT0+PzK8
5l0J3wBFvU/C5To2hx8noad+IO9i4QA5Ky7pGHufh85t3hazRKKU1Dr8JlqMGku+S77kqMuKiHWY
n7ZYvGNUDzXYUlosnlj2qYqqTSM5ZNXpkp9ShFZvuIxE6LQuKREkMNLDzTJZbwxe/KGNKUqy2gNZ
jfl8eDYNpK3RdmCuTa4Ujo10WEjzTOUCIsDsh3HTtf30e9KX5a1rAo/tWtnckqkGOHzBAKIIOpvM
/i7vRmKl4867OKU+PcbJ0FzMzF/CnNAFprswPOy4JmcgYq6c+V504I194uAXofhN6h1gCm9fOFrc
/TFV+W/X5xddH5j5a4fx33d9Pn/vh//5SwT/H7/5p7AKSxKaSgcJBZpINvd/6v0Yvzk2ll4Lp+1P
cSuW/hssJ6GzyiDI85xV9PRnLwiVJ3N07E+cwpA3Ov5/0gwiUvqnZpB3bTsR6uIi5eJd/jxMVhYI
6oxox750x2PtVTYLmNH0R1OVVlhYK2w9H3mmgf1hsImLjZ7OaYhrUd7mSafBjmUqsusGv3vyPX7G
Nwv/JSUJ8ibxNUxFV+AnxN4We+iKAZ1XIiiCI/wfY0Y2JzBMSzobH8a/vbFy2wknH1qCvfJF24hD
opePMN4Vt3ZcevEnUfV+xBGGCGbfyV59KV/EFVxqkar+acEZGPCRIGlPmh4OK+o0lkBPhyv/dF5R
qEOkQUVdtAiBtmpTaO6LaMAmuQBUa+2cRk3Wh8mcydsOzO/9IgnU5PCjf8ZMOtEgAsgKtMTcQcxO
Hg2/R53hL+snhxPOIsxehmkTtCtCCKZwiVTlU5zY9o4lsoHgyf/t6oBhfZF+qqHnroZfdh1L7TxO
HIHW6nUYg8qNSc2yhqcc9PVjVAvzHF0ptLWzEmmJPGFwVHjaEvpj5CMP4UxkNGBsSScsQt7zdf2x
Aqv2cfhorgsW2vw85nlzK2DiuiscV4zJQ+wt04CcRLcwmeCkRJIlLXoz8WJBAunWAUDl4L91lmFD
wMutL6vhk9VDp9gQIiO22mR0UEgUZoaur2yuhz3eLZ5xO2T6G84tOxxX7C+Ii5eIQOSDL7tPKsfX
5OON/tLJTB1E0rgctHCQMxrexqhawiKL40tvVSZh2W5d3HvEh52KK4XYp3XgbpqSI3g89s5jTmMq
1BIczFEXGWeFcGBrx2vC5dJ8H66s44oqh3oxjR8XgMOH2UeunyGERV8x38FXYr4ioB6PFRBIRpyv
cV8TRDO4+T65spbllbs8XxnMXRz3X3TZjr+n2STOEKbt48p1e6LgRxZMRwPYat86tC1LvjICT7t7
HGtf5GyNJw1F09aQ+nerKgEZSerHEjv2flqh0cWKj1aFi4ul7BSH+DgZnxdtrINsigrYmlCVguVK
otavVOrIwaYbFJWUX0giqPVQKCKM6JK2pBLnK9qard7Y2u6ATpKJiX6eVgh2vuKwMYhh35sJ8TxP
0LKlLd6W3n/T6Q52cDlJ0tDL5tZ30sYPLPAt3Q1KDnDKMQxuSDXPWGS+69TDRDOvpG7oFPqtXUzU
wkmBRaqCcI5OzTFQNbB28BcItTD75NS36RFmlNzPAh/ThkjQZA7GGLfCfX+lhnvkMcbB2DVv5ZUq
3q2A8U7vd9mKHJ84OrKlgiFXdF3DfgJNPsIoBwGc7PMrt9xYyCS6HSNR+iB7VXaEoJzl25Q8QrBo
em3f9zb5Qq5ZJ/ukjMS2bUhzclxNC0XjeJ+trlQkZy7HSncJ7Bz65Cb34NRGjqHt7EiR6qAruaus
LAWMXOSvM5aqsEQ4ffRSd2fhyKfIUwKULbyCTd5l9hlH2eq05GDqyITg6gksT9aWIElyE782yNOb
CRlBMHFQupeTLfkGsmV5BtJp723iIe5nfdBeZAxzm5heuDZhWfQNQXtrUTBrZrnLmqOj5lcUiHTd
u97YY61ZthxWmmNh6/W9KEwC1m0LHyDamtagbTDaprvPOb+wUnXt2SRj+JkhLvneCOjDxGZ+Fqhm
UYTlRbUb+EWevy0ZhAJrduWRBBlgdt1EJImXbZJpZI5AeFO3Y+IgyOqaTsUSq99RTRKxNLku2dux
hZ8sbVCeRf03KyJ323ETP98kTiXCGnDOPipVERAx1NGpHr+s4/adHIrptlpayVMa1YzAhkZKuFtl
OnwzKnabrWu5/Z1VQmWYYvEUu+DVTK3Uj6m+imIrzkqFixUJItlt3xA3KNhgt9j7sHMRM39rdJW+
1xVEmgjz1N6RtG1ByOhHZ5D6BjG0t+sb3bgbXeEf58pNYccXl8ih0HPR1t/QZuy9TbTKf1O6R5DV
PUD9DCUC5LpFiPei3beMu1FZxHkb6rP52Ik60OrZUDQmLXWfNHF6IsCeU3rBiBcZqh/SixYHAHvR
To7tkU5ou9VJ/vqAfE8PomzkFsMmgQ4mDoFltJJ9t/hfGSWW+9juPlo/HrdjLr+WpTVudaHEdhzZ
bkSX7L2OdNdRkrVQRt5pgiwHisw8mThVCTWb7LO00nLXaZytVHYZ9V47yyR7RKLpHdC3GjyNxSl2
y2U3OznRYHNKUDw0ut7ZEerZIRP26X7b0zgEHTSaT8wLIECPfK+Xdkxj50AcsxrvFTV+vTXYObuN
kc4maS66qXBVWChw9a1TeYu+TSK/WZ4wjfjaq+yNWYUpEQ8LI3pkR/qUVwgz5pygcNJQByHUbWOn
T7bbOVm4TAulTJ8X1mnKCX0JyLVBhpQRPgJDgEgEVYvZ3sBxaB+M2tCSsMm65bPZjPPntRF7cIdM
HMe26m9apcmBuC1iNRkq5dMBrpJk6cdivZuhG98qyGVbUbJiegRmvyscpiH1XHaAxzmaZG245cVb
RnRCeolH0YT04/oSuS4Jbq0xakyjpP3YK6/dwcZAt0mroyIOl+U1b02+IORd8y7R4/gFwghTtgx0
VdesLVe/NFcp92JNgFlouUpGUqTVc4qX6I8b89jhxUy2g9E1oseAOEKLYufSd3bP3rbxVOJlQe+O
5LfkBMuoXlRxuHj9NO6vTHUMzRrgvtah8It02l7IPfwHwVyMFsmwtOkut1sk5J6/dGFijk6Y0wh4
6+0M2euc6dnZS7r2kvmYjHGfqDSosQ3c9OTL7zpPd24Xkcwg5fMZDzHWSRcYc6eGzwUalpCepLgr
M2/V2HPxXzndY2TsbdocEaOddBnolIBQN/l9Mmr72pxIgoHPttHSPt6aswYaRjlg2aiA2oI4ZcPb
W6mlf44iggDjRo+SIB5NDwaWssi06/NBZwwxDK8s3svW5EtCsi++WgzMeLBtHaMm9VZLHAwIY0T8
ORJqQsxp1Y22EQz0xhv8NQmq47Ynk8DJk3GLSvO+sZkg+EwQ7uTo2nsn8RoVVOTunvsC7822t6vi
xkLwuMVhbB68sYcuX1SW+pgjL/niU3N/gjLiHiMrqZiUqMm962H1OCSKiti/RzduBoZyX4fS7D8r
UFXgwGwLvAcMLWO29X1HRgTAGDQ2b2ZjQSsAWA9u23RZBwrDvy+g6n03NALdoXqKd9bT9JBKomaZ
+Tiv00QvM8jpcUY7rU0T+IH6Ymxi+FNwTQfzAnTe3NqOZOqn3HxLMq2P1RGonj1P03FxCQQFTCUv
PfiWTVZJWPY2LZ8aNMm7amGfoNevrZ1I68HZNKJBOY0kKCjrmQTmaMBb6iTOzph098OAt3pH1tRy
8hB4PzVS0DhgPc/wBYj+2a/04jUWeoHnVGU++vo4OqDX0w96E7U72iXtUW9j52wug8R829R7Y9F5
gcVmQuhazVZVrqD2152tbUcgA8kmyVmay2onnca+yQqt2s84vOnUFfK5JrZmp9HiHpo2e0jjLkHI
RCJA5rrGkUViQnlEPETtTgYFCyufSfhYkKy5AsSAO5g/1rCBfM0dqNcEgvyaRZBSoxSl3lJAkVSQ
XEMLyJUkv2BNMpiGWn4413iDZk06YKjCNFmu+QfXQ+1/z/+/Ov8jxkXN9jfn/3fgH1XMsfGfXVXo
d9df+8fhXwjcmisi+U/aF4CRfwg/EHb+5mKQXEP5OJL/aanyf0NGbmFh5JeQMJr8rX+c+y37N9ti
h6JcNlzYW7zMT7Gqfxez+uOpH2AYVq4/ug4CuAqilB+1krS1W6aBo3MuJ5qAAfEP47lDXOdsaIX3
X/7pi/kL7f/6x/6/kvX6YugNV3G8T6/jX7IFYnu2CkbI1jnRSKaqrNp4VkhEXpDfrb4eQ0fFrbvW
uz9l3e3/4aVNnEQeTRQghD91N1ItF/NQC+u8+DMv7Xck0yGycOct6STi2fRmoPe93pEIR0uCgfnf
v/yPcsv1k2McNZgi4bzlwv388gZQh8onDvpMoCvZZp42EammE6XeHNJ6fTloI94vYMYG98hPXzcv
yq1iCWwWQO5/1sE2VTTGjW+cbRZKoGieuacnQeieiwn4pRmAClupyYuPYiTpIBnG4cNhOb0pNIfv
oQU3edMQKjff9tra3FzoGL+Dx4HIH9mTLo7TerwJU/QnINkaQT7EXFTErP39d/cjfOeP746JBvJ9
NPgUFT9pRz0Jr2J2CbWFCMu9MiKOn4s1Ms7rZ/GM66o+zjm0yr9/1R+1Uf94VVTEa4HPC/s/3TAM
kNxstjtxZt4onisNNjP+/eR3PZvbsxLLfLGtRpw46NACVglqvb9//X99MF0s2iY0bwyXOmC/Hx/M
yfernFqIxoLmzJd0fWCUP86P8fTLuImf1LnXz2oKpByczXnBf3EeRMod4JSM4sxePV+gxqJNmFKB
3iEyzf5jzi3rHXLA+nTqJVgHV/KwaJmLADZH1/Gff3BsnqyW7NYUHT99cMPSar+lwjyPEONaeg5R
Ud8ZA91wwt/zXxG//+ohcVn2eC75p/svCn4s3HqqmeQed/2AM10lxBhegwVHV6+PZbfmyk1E+LVt
yl3uFwuJJhNU30BlAiqZyJb6qDnTfIlbewXr6QapkPkKm2Gy8JgkoO34qxlPmY0jUh58gHHFH3vz
v3W6X3uzPy6slBBcP9jltulzx/54s2RFHI2e8sUZyRMxm7RUu9vrfXPV8nQd5prCk6x7ii+w9NDF
xOmCdaRXxGvjBKBITHMLVPUil6ILRaT3H16HYujvL+1frIIuYgg0kNjKLHJef3yb2myMEzwscbYx
aZAiueY3UuA1b0KPBD2OTvwiSGXdQX9YAh2dadVqVQJmqRPl8NMrlkNsZHqu+rNsiIolvdN+j3yC
XCPf5CwwrkKtznRQNkVpRPCMPmWoN6RU/lM65qSCmJUaPswaBVamswLoGg9BapJOaq33xPUr6tk1
nA2tVB+2gIugDHD+naal1t5w+UALnYBfyOn5BD9/LD4J1xmgrmWg6P3ZErJ4ue+SlBKf61V87DcU
9GHmaoylMOOiapkSynoEdBkNXRuabZBOZZTs/IR0TEz4uqkHioC8wMiMaQv92N1NS6wNt4nTjwLb
WKzMjRbZZJ/p5gLCSk+k9qnRGN6HOsHdHXl9cHEDlDOkjOmGzpPBCHjk5Js4EHMygirJAa/OYzUk
R68vszvQyPVpymDqhl7d4TJAm6i9Ck4ID6JWxTc970VYUAfg1FULZyfFefpDoXJ2UJsmVZgO7N8H
IoFxQ7Vm1jy2Os00TJfEi2+suqeN5SYekhXX1ZqXsSoyGZqR6z752C+YftJycZBZT+20Ke24Q0fn
+GTMAWX2viLrRhhBG3LIbxecr0Bb0HyBIGyBTu4jwnPukIMhGm2miCO/7z+Bb4Js4zL07s64igSk
b3uo7KDtDVg1ZRI3zaMbl0UXzL6VRKGXSf+FNi7bbs494hLixbmsVv62RdYd08Kh1eoyb+Td1bb9
3vsWZQKdDzSP1roQTw27QJ8qfk2hc0jCyMSvi/mPzN2ZGQOEsRyADDuzSAST1KUaaXodCGfI1D2Q
/fYOmrsndrGqS8hkTTpz/o3ThJaIP3zzKoiUmxgwNTl5WUerqoxPnWF1uw5za91ir5O6vryK3sOm
PXlzCAvA+KqYpZJORHKt6xvRzmDy+aX0e/u1XhUtrdMkH9wo8/d4jLI11TiuQn3k8gCVHyqywxob
Lbs7IVeKr3BznBRkoCtN4yxfDx9WC61mttO4edZsL83BjnqEfR6qCrfHsztFte5zA2A/d8PSLb2V
AKoskgiQ5Nh+ZPDvAuw4fggOoRqu5FRpyilxZwi/edWSCXIlsJys6kKCMEuPs9ta/ECTu9TElwFP
Xv3heowei9VeQ6npSfI/eiKKFWEGEdAsreeKqYjY4RIcNqwj118TXddw11RxV24SDxAKveCWv4FO
tHnzu54r60AIp2mboU3Q9c4LpS+5vRANcenzqXnrUis+jzS4hmBRjvUe2VJuYvqYqEuL1XhSSszB
0eK/kHLXf/QEku2dkUBizWIdcq0SDWGHyZlsvQT9YFma/Hm0TCuX3rTrI2Vd9DLS8Q1zJFZH5FfG
c4uzkh+qC2K/hon1meWMrL3C8ssY/tDA/xIvKy99Sil8EL7zPwCkRorrMbl77wx26s2A4IZQvkRk
p7FqWWLQZnp3yJD8O9+t5ws9YTb1P9jj6xpJDefdReDmj26GhA81ek/Pcv0qfaZbzz103ZGCg3fL
vAN3j4mN+rGm7IT1Zafqsb3WInnhkM9FhmwHX4DMMUzOAi8ElaEyJGpZsfgIE2DPjinHDbPIDJwU
ZLUkw7zGbazVozL47gUJDCkyDqSimzyZULjW3Aw4ZfoPYlTIDiNhmfTrfLLfyQnxt1iC+4+mYLel
z9q+ZXlJ9YtSVl2uhcKSt5U6IG5x3o1V8Jr1BZe25c0Ajss+oEWR3JoSELKvW00/6QmPtFNH+qnv
iry+4zbi2pEISfFet2w8PVFkiNrni57pFOF1Tb/NFnnzhoKb3VzlhtZtI8OnSu8XApoJsVX1vu07
3vnE70wrHl7Nd63WkYB2LXCAD5KXSiP244/Dj7nuyTRLyDrA6WdBwtDyNkNf6YzWvbQVCu7Stt4T
1+yIUF463mBjzFDaPK2S2bYpRfQVPzsvXl0fIUFcBuHOM3KHsGLnGcJOnj1L9h+F33ONmsijuOO/
+rFgA64sxN5hvR5V8qRMb4QSFAY60dDIMOQJrZ675+PUR3PS0PaokY4yRF/eLSGz3a2U7LjDenvS
RRMnPc7YmXJoEN02myhXLRR/430jYw1pawJPACtaxV3LbII8YfgjvJnI5gYGpMx3NgAFfZmn1H3O
coI8tkOrpzcQlLhHroFpSSn5ToE88/mviwDO2PmiGLF5QZGn/p2jbJOWP09Y46wvX0rSrK+h18Ug
mrdMIEBnmIh0lV2KIbfJVU2N3gsLNnK+B0kJ6ldo0TVQSo+zip33zsOLm2MKLrdGuiBYj22e+K7r
eSfXO9EiMLY/ypQlwBbU6Fta3iw+VtzGyJfmyJB7r14vUNZCK9gZddTelh3pfChWZn8zcBztoTYM
FEWGxxgRX0RcPimdID4zy8SzoXmcAfyMYwgqbvEsTVIRN6YB4XHDOs9IVaX+mvfd8KC3Qs6P10/I
TkSN3K8t2K7GJnY98C5SQ60DfPUZdqDxnLJ06xvJkfaZ8A7xXAMSMP+Q0y/eKpq/VozXbVPRqJNh
UwBsMb1ryLjd4MUyCBjJRoOgjnHkJLN+a10zoSjOpCiWkKQYHnqHT0GX2HpvRqYmADbIESI/l8dq
USY6GnOBcAoD1IM5HLMcpTkPl4G1HKBC3zFLSLjlITKsgvEkjRxzKyfyQxXY0nJr4+CyL3Mnq45c
WYvkdq3T7XfmH9w1/LT/Us0I+AkQtvZ5W2v1FiCXLA7l9L/snUlz28jWpv9KR+9RgUzMi96Q4ChR
s2TJG4QkW5iBxDz8+n5AV99rq+q6+u6/iIqKqrBJkGAi85z3vIPNq4nLkdU9avSBih16Z77GNkRc
weBb9j440NquDAWbPKVIuLTkZku/QvBIeTEvN+DHXrQ07n0i2ReWjRUTQE6c89oNwpFjbWzBe0f8
B98I3gpuz+vTZIS7w4+022HXZ6Ynp3NZIq6OhYiJtvkYhVNNpMV5QUDFcz+U06dEm9Z9vdeSAmOS
SVmvIW5cD+dVYY/pksQIH5X4XUhVoirEFeJibgLDiriEklUIeKMWsU7LnEtbI+UAhECYC4s/Xr6Q
dk79Q6qLVY058GcThVDt03uKK2HyFVhy4oEUmXLwRRbyZGEJyQnjSMPYlorSvktKdnsjFtcYns23
dOosal0TEvOqgU37vAPiPU/aXxk43GwIIcvxjbMVfBVn4LFZDqBiRdIIghyFFRaT6hAuxLbSiP7d
FISWMc3rUNltjGriuqGaxrsc/06wa1o1zK0nCj8r5Ht3E+zO1YCxveYnZj2KVU0tNN/3Asu9fdv1
RXQNJ1svDwXb6FXNVCukaVxUDWFcstp1Ecz1Q2uhEsGwJvWe9EHFu0KNy/dljHRjdtK579wxv5aG
9R5pgbZOvaRhHl/pDFPY2Yc0TD5CoyHVfPH8MGxa6nVfYltojByPSaw4kSZYa2uURq1HhTLZT2ky
cZ9jxQ9aWsM87rQuMbYL7btfhVWJoBzjsEOsVHIyzEaINadmfqCzH/dLmDqacaWKU1AS9eSNi3TH
lpgbwEFihTGgbhlcj02rH7FxYfCEoyVAJIINaqoOnzRfZkV20EoJCgPK1q2rjNz3+zCR/Dx1rvg3
Q1VukmHN4w0IIJ5NxoDMBhekbFXBRPDzpaSrIhcFTAhXnlwUbd1VA8/M0iinBGBeDIbHo+pFFcFJ
es3Hg5cE2CRL6gNy5vmk4/kwCSL27dmKy/R7SY3J6eIpb5MsZzgx7sFTgKw5XJ0bw1DHkQX/jYTE
kLplTyvt0QkuwNNIc41K7zL2kJ0wNBZX4Wh5T0Jrm29ynlzfNpZIe5aTsS1syflZE0W67/KQ3Wq2
Y/nQc2VoymyRXpKON7PHgcl4puCZyJZ6UwWee5nXbpyTUQN8BedEveDQzySwZd+rKx6hNmPxxIGW
HrXS2trhsjPPc8kJRG8X7aUVxd/N3tabC0t1PHGthkjBSivvUvtRYVTlBbRggzSTwjWxVUaadaBh
G9tFmAvpoevqHVky3TYzpXTpVVpipRBJPbiuALKzPHYlcB5uiZNoHBtBIOkkcpuDxcY8/4GgAduf
YV8eFh/Rq3oOOYx+lMyM3z5sYpFXoGS5jplfjh4RdrXccuXoIaq78RH3nfkywrPgkQRuLJF5Qtid
6XbmLQdi56wcGJZyPZlKu6k1u4SWO3sFbtW1Me5laGnvnTKsb9Ac5u8ZVeVHmY0N5fYABYS6SoJc
oGYUFGW7DHDlGQ8Ru/a7IMgi8hqKpNpUJTlCljEy0nfgUYSJHX+BDhDe29T4kF3ybMIGytJ3k2tN
V56hgsdII+GlrCbeySp0ON0xGWSwlQqNjpX8VxwtMP7A8LT2evt/7Ou//3855wENATL+5wnPCV/v
5R+l4p9HPPLH6/4c8WBUT2wLWDtbK9AlYPW/Rjye+OPHDEf+e8Bj8J//j8ip/4GjHpwRkqXJoQV/
/W8GOr9CQ5ZJyJ5cfGSgcbr4nyyE0Z/9lTq9dSMS78JDRarFSYdAhvZo4PgxM3I+fD2M6veRsNB3
JfAN+em2/M18x3Z/RfiWq5MgJ8CtbQOfPuxyfr06lheVReWcHvIEwQS28vNWkw2b9pzzBFhtpO/b
yiLTSYqWikZUU2rSpiwiIbOEtMkwv+KEbSTPWGovzrhiKut1ujRr9MSk2E1LxajSmplzk8S4lwUx
z/ymaBThTgAoJ8/B8ZNPmWFpFZljetVHRf/dSZgirKs45umPDI9EK9Ow7yptcmB1B+POHagM6Wbx
iScwiiQnkwhFa+S+2cVYILQyrWIVDIV6NTzIHmitU79Y7AJpQXDTtCNTK9SeIgiTwnvO6U47umOE
aGDCa8351ocECm4Hz9Hkk94HYbzJcQPgOQY/t14iUvtQ9niDB1xWtiSpGviNV2q4qTBqjlZO6A7h
1Uzgm0tq4iTCuyHU7a2eYU5gQv3KdXcrm77VoT/S3h+EufzNUESe8zzWqSp2Nj3UipohxlN4imo0
v6Jx6OoHdzbctUCEhnZ0ldtsx/aqKsK3fJ7C696Zyk1JiihYAN49aiXCyn3GArnVNsi9xw0qNWfX
2TMCKhxESr2v362k6q8clwYVfmFo7DH9F7dzLLHICIL+uc5uAeKzXV7n+gk4Kdu53hZ7E7gnPe5m
F3U+bCuzAt6LsBC3WuXoq7ajXtQmD4YizLbHVFnpM5SUdOVABF0bFsTINk6t70jHkzuOmXFVeWPl
Y6FPAmQh4kMLQPySWE2KbjpCyuDUxSH2ClRuQbaXQmR3tJDpLRoqpEyOFjpU7tVOEwP+0CUTfm96
cAoq3ZXmec2bVcKUytPIQRlnEI4QEjqnD4jUHT3DgFWZ+Zrcyeyx7O1iVYE77eipvXcbzhd006BO
buhdq1dwCgt/IgJYrjyMT6IVLCMNNr/Nq2DE6gwkyGZD7T4/GTJ7SKCMvth0VbA4zPQ9lrZ4sl0e
KhMTj22QLWnqaQ6vsKIWq43hexA07usMJ2rjKdyx8cEJ29d6bjbJTDEBpc9cpWq46E0S1bIUsZPR
z3B37TAgkDs00wN0F5uqzREv4PZYQjoFzDs5tAdqjuwAIwXTSyCuh6YrycNB57VPjdy4GGi6rjKX
iJccgO9WKQq5rlfJc1VEyQu/KKqXsTMu8IDN9l1RqKt0NrN3hYQ8WBRpzjGujfmmstr+Mm8rqjf6
edKhlOvcTUmbZytNI85B41w9uVNtEEWgY6k38Ejss7EOtNViJHAs7NC47qDPXGLuEX8ZGx1yEVW8
flJpH58gclQPXYqCKI5tcFJ02httjL0XrBqTp7q324vWKj1tM3ZOctRnZ5Zb0O38xtK94KBmsiPb
WQ99HQ3Gtq566wMD7moHWD99GRPCAENPOyBqzA/kOZ6oMAs/wEZoNeDKgglieJCeupgsfYJriMci
GMU3BDHkrqdFttcRl68KSyHUFGicUWY7W7DZ0Z9Hu3pDY9vBWxliCitYVHZhDrdJaVVX6KUmvI47
COLTMD13CFnerUD0t9yQ4HosVfdldiax7s0BELTBGqbMx2Q/ZGayU2YCez3vyvRRxUA7/Ow8LdpQ
bVGvqm8GLK/d7ObEgIyBbmxGezTByer2xhF9IaHETSj2ZR/BdbXkxyyh/K9QehK8pWPT6FG8qzHt
T1GQ39BGeXiyyvBZujz/s+VV29GY0H7qpCCeEIDpJ69NvSutzOUtc4COg4JJ1WVZimznZeN1hjSJ
4Eke1COgoOnPQJT5Gmuf8RCnIjyqMkFR6NoodujeTh3JUwxT2GqKrGBYh9WmrExxb085VC34tBDG
0Oa9R8kAJ5b435pmDX7Uvpma6i3Fgp20yhQRWOpBHi/l16Tr40PWWNmuMuP4QdRJcxc6LU6zLVww
ravIXUbqVj02ReddjZYzn/pGaa+q7HRONDHcZTR0GDqXjXMJa5vAV63EQxPCnLUvCms4amHe74JG
9FfETRqYFspi68ZV9TRYVnNDJGfgT2Y/74x4jG452cBbvK58c9vC+Zhi/MJWADh0sl74bUBdh2nF
7K0wq90OpdtdTGOD6k+gbdQIuEzXntZoB1ekCdanTda/qtwVJLDIwSCvY9aSYxaZ1VPANGdTOrCk
XCuHZGfZSfpRmAKLea+vvrikP9gbswzzNyMMXYKyxuDUicC96N1CW+HwXx8iz917XSrBiCTnG9hy
m121pu5dQ+1ryK+a2k3nNiUenlp7ClrgrQQlyNWQOTD5yGv5grEQuJTy+gZBrsa0oDGG7laFjXs5
a970XTe6rFt5Xcxx7XGPL7Kh1R6iyLJfqrhk60m10lyVDZjFsmkrm54nQLelu+W1k8J+jXX8FLsC
c4bUzSYibQLL3TkEgC1rYojh1nlEEixqNLwHHfc11VFl67HxanZNedLCwrp3UQasBPReEgE8k21w
kjdTNevrMMC5lx/wWGWG2MFZXPdTEftgafLUuW1yCGW5GCQW5U0ZSuPRQQ+yGXHP21aYmiJzTgq1
GHdvwMmQMqYxatnSUGg39ebWgVX9TtAoWnWyK2a/G3rvXliJ2sJAlPie1jTxQRKZ61xT5k0aVAGz
NrCx2ywsIC9HHLKDbly6ASHKaxvp66nSxak17fHoMSXbiFirvkddLNuVNg3eHi6es2foqNZNBiUQ
jmpzo+ZM3aSTqvYJgT370bCKNd2yth6G2Zt3gaidL9QC8mE0PLiSC/H8w8217iUnGWQbpOrZqjJn
oyXeLa5SDTqKUieIgzql2Uu2PKSmbRIdB1VrB9LWYcrjlgN7FbeZ+T1WNbp3CKXDUXYjwewcb1Pq
hixNs8GaI7VuAmpTqIUc1p2dmgkk29pJfKOaqT+gOXRXRthVflPVT4Ve59f90JvYcc26ueO8K7a9
2aX4RGnTVouFs5dl5l47whk5FZz4hQLNbgjxdSlApmDfqSRYE81MqpAjapEerCwkogayzM1Qqp5I
C6BaawXNgPIVUcWGbKThzq4ZgWJMMxxsfSqu2xSd4AprvprF4TnfKHzxzDNTSaQT2woGiBTTI5Uq
WJrUh/setuOjnpbZoympAc2wmU3iJqrqWqWtdzGnNtVKaAUHpoMoDRkPGmh1S04wIoGDQ9z19eyP
oZEckxZMmmwYEXeUmNhu55UMm+9GnjgNVP20nZgzMo9hfNOT+ToiTjiC31QQVhrjZJo1LW1VC582
HyZpWI3HqBjmRdUTPs+2e5GY9gMh24PfSYw0YkvwLc1jnjria+yYkMsnYoiqwIZY7uT2s8BK4IDS
FvXnEGGIBWtto4z5FTvRt9jRbl2FENtjpudD0SD9sYp1aMnFsNMNzVyngIgjLcJFnAlQ1iR85GcB
5Z1c9EeNd3YgClZaFpOaFBsIQ8wXsbhrjD3KzTBNMz9N3Xqt8owbkw/eKssn7PcxcVuVDu4g6PjB
ajp3y4xzOrpxfx1Npnwy6gLncXdkUK3bqNEFuQvozcYZ6T7C4bmcWrjZ+c4hOmqFmt54mTQ57gAV
1Tr33J0XWGQg2pBOlV2kp4Ll96o1zkY6VvCQA9HvlRZMR0s2+olwpdjvwwGDBrfmmIO1CCbnuNup
aTFXYm4E1kH+kCrb8KrQMk52gL1rS+fLJW5GyF+b0ycgrl/bCvL171vDv7alkKgMmBGmAV+B/vDX
xjAKzCmLOzc+JDBbKeFAwo717LJLI/+27029oCOlliKYCFWL//uL/8oCWbpSW9o61q3QqA1Elp8u
Tgh8bSMCiw9iLGuMM+viUsVZdA2NIr37/aUWM85/M3HOl4K2RU+zdL/wiT5dKq4wOB6ZXB1Ixaow
1BHuRE7YFJbff3+ds0Hj5wuZjukBOEBsse3lhv/k3ZWWEyBz6oSHDhLeNsLohQHwKDdZEbc3VZ1C
9OnhGjEVNPNXBqh01MMcRtdaEC3NdQDSuTl/pP9hCP8DQ5h4XBd35P+MH12WRKP/JQDxx6v+jR7x
I0K7RBdMj/ALemT+oUNa0C2IC+JME/4XS9gwCF7AVxMOr42pNvv/v0AlSZrLDwdUKXGEMrz/iiVs
fFrWAkNXE9GysBzopH9lycVTPdBOiPpgFQFGbkmiiTs9qjiAIANsyypxF29hR39rNCd4QMtVY91S
BEetjoNjA+0GXyJHXJbsgjscM/q17EVGKBQqmQdXIYVxIgQ7YA2ttxZkL10jyOq+Y4oqLkdMjp9M
WbUMl9EShowuT6WOWtDHi6jHQov0WxHqNQ1Zrs37ssrt+67oxn+gkn1CtrgDpmlL0+I2MGX4C4E4
mdwa+apSh7EW442NIGUXoqFZy7Zdvhef+6cl8jdY2qc963w9aGvQ5XTbpRb/9HxLjQKSg0cdBq02
GD5kb+FMyHsccA9+f6Vf+bUYsvKLGpLAIAFNGfjy05Y1d5BRmsjODmT+NT66qGnlTZa2w/osvu9l
Zu6mKAn+YZ/8m6/H5uXo5F8zOdX15c9/2r4SXTZDXhA03xH2kNIzgYU1Ouea38G6nf7h9Pm7qyFD
hCgnUNk7n621QyascZEn2UHog8U5Wp81a0yDr7vMe/j97RQLp/CnnXm5n57D0+o6Bjz3v1DqmbBm
UZ7q8aGKxgxtcRQ0ZH9VOZa3zFtX0RSN113dicuBMcB+zpxWIUolcf73n+Ov3xmCJQCwqQMuo3z8
9LNmAHxT3hnJoerShZlNM4tNWBA8eDZ40D9c7K9ryCIp3GKOA3sYL8lPPMu68jKjRWx3UGKeb0uU
hX6r8QQrEiOjw9TEGLM6hZe6/3Ddv/uS2GKjYLBtD6r0sm/9tIyYZtIT2Co5ANj1uH3waw5GB1eq
iEEN/qsbulQR2JN4UC/5ecH6P10LCtlAwrBHVSWq0K9GuIsrpdfTRYiD0+Pvr/Vpvz1fyxJ4fZsu
FtZYz//6vVD12VqtsYbmaR6QxDKdPiIL7/+MYvuPzOFfWe7nckWnJHI9Cohlucpfr9PZWVMz+ooP
gW71iT8OCV+KTkdiRGxY91HMJH41Eo4J1aumn4EsGkb/YEX9ae0s3xWdLRudwN6CMu3T2uknkTI1
aPkMfRP6YH0VcrKZ3K0A54ljiamU39jG9A/7+SfO9I+ikC3IxlbD4Az9zKHtQxsRfODEZEwHxpc6
sfMjdsPTlUqKaFcbCie0FmkudOBpBBEOBub3h4FpwDdhZ1X9rnCyPOLLF+xDXcuPEIj515xot79f
CX/3OcEUKQ0cqgPymD7dnhSN+gBdWtvrVNZv0wQxdd1XGV1lkNmDvcf6F9cE+IkOfTM22ie9l9Sc
BuZDhy4tzQuvBbEcY9e4WvpTZ2v3UZlgyOphc/H7z/rXVbsICAzqUUh9eJ18+qg6kDpJo0N8yD0d
WCkN3THFX61pN7+/zqennhWDzxw/GdOtZcb1+WyMNVqNQGviA5br0DqgQeGtiIHGRdaY1v3vr/V5
Oz9fDCmx5HS0Fo3Apy81AWg2NOps5xiBgSoG6Gsz1a1JZ0235DiGazUO04VAo/Ki5UW4oxtv/+HG
ih+Ts59OleVjGIbuQHCmKODjfKoHslppkJdlsHe6oZ4OTibZTFsPufQh7NR8qxm2/mZFAV73cZcT
gawistXiOIW2w6DbusBTKzh6XTfdILkiUKapEoV3LmbRkJvSfD5lURMco7iSd3NmBB89MaZPdC/z
CUkA7SnNvH3vVHj6w+W2Lnr4KaTMYKV+d+7g7Egx2yN69TICKsGRVMXag+YM8y2qSwNTiyLqr/Na
b1+zAKvTWaOMawjkoWkfi+AD9q6ljkVeoY4vYAXuiVEGtEmciPmX4dRLjVCmJjL8SkI/9ALxXnS5
8TjQgldg0j0Sh2YMzI+sb83Bz9vRiDaNm0Sn0ODJNmFy+aLu47cuYvMum9D6CEvNlbC+KRsBr3SX
hHsYGR1ImW3uBlOnGMKFDSGE08kN83znxa2G2r0rxaLm4OkP021aelxeAUfduhJFK/hp57zM2Kr5
oMXhyVle21glHwMqoImf+4ADuRNn2oNXGtOJcyZ7qqppuD7f3sAe2o0sIv1WGQzAjuWM0vMQiNAG
A9bz6JSGHkraao4ShXHFslt1Yrqo25kdCg8T7WuBjjZco1oX+jrLxLyHwce9m+BPN+ta1yPoWbH5
pUO6r+Fxqhc3RiodbPBN3gcMMDrZLbG4BM3Gb7WOxwt+Blju7LwZRusK9Yl1Tx6z8egWPbmxmuTe
5oaM37IwZ0BSl+ZrYkGnX/HQZDWqihwf5kEbiZNNa9g5fTVeQ4zuI98xRfw1s1u2Jvx8n8TiO7Mx
lnWYD2WA7jnB+wJNehsz9WDy4qONnbd49LGWnJw5bzhMjHgDWq9p1Tb9fJtbGi5rc06d00XMztYJ
X6BZ5ckwA/CzwDZ6E6lX6PYkQo4uqxe/NcbKQTSW+y6iYyDuVSN8DI090d3YMYQacA8w8MabCdUe
weuuQe+qbZsgCyb/ptxUZ1hFK+vbsAVv0RfkZVgwmHhBY+wFlxFGMR875q97NG7BQ9g6m3LBcaoF
0ZkWbCdYUJ58dnbpgvvAQBoXFr7x4i6oEOPEnb7gRNqCGOkLdgTDTa4hrtZbb0GWzDPIxF2VTx7A
E0rD6ZgIRp8LJjV0UXmEpgx1UcPPDes+j7kNXwuzjnodLcjWtGBcckG7WmCv2gG9I+H7ugbRW/U9
JpX9gpJx4GB5WMWPdgCCOC1YWgaohhGAtVYLzpZ6WE1C78Fol4Gc7y14XOxFdw0AHU7UkC1B7BIc
VH0I7WSSLHieprvP1ZKhu+oNlaH5cDnVOiW/4mVwZDItsNqMr6IFJUyBC/s+uCgLJ3xulZw3cHvA
FLOcDdhcaqRcTld2bBinFk/KW0FEBF67IJPzbF+mTjWBVpp/gpdsIkCZlY4H0iTKBC5n0KPlh+aX
HAVMBLEKGC5ddlbGByoz7JZW/STnR0w6jO04ZAFa/l56F60Q1TWFkhn5g81+kTICfqzVFD7i9DPc
T2dctmyUG8LXnKdT6szGJsht3GHS1v2W5HF9GDH5P0SQMLkoVfSpDvU7F7r/nTNM08aYu26znD8W
KO8CGseqym+alqRwhyctO5gapJKVTMtgXQM6hynoM67ZANH2GZM2C4QDZsCJ4ISes1cJrU/H+vPz
BdBmdmrumBSActdK5teN3j452VzBDIj7K/OMi4dZiYtFe8bLrUTmF9oCohcLnK53Y4NnTBd+aZNw
uECn6bcL/J4M8FBgiw7eVyMZCSKyzlh9v8D2aG+jo3HG8uUC6899zsJMqB1oETLtNsP6YZNP9XOx
jAQQJ/Uv+C+7Hy3ztwk2hpAPMrecL+N5oqAvw4Wpg30QlB31WDFWezXPTN20yl6UzMRvlaXCTJ1h
BR20t/dQ+pLAguT1u2IAuVGL81TVGidnGXl45+mHidsEEpKCEobRSOdkDEnO85LACAya/2WKIpaB
iobR41q0mXfkR/XuR6ubfQ5hZjBoR8z38TyYaTVQA+xDUD5VEuUMS+A8yZmC0NoNy3jHXgY9gxub
GM425Q1eQwYZ6CI5BMtoiDsYE7DYY3QfiF2/DJA0rzhhNYeFa+7Jm7DKrL0FU+7SW0ZPtZqt+8Cq
hI/UD3baMqHKkBK8dti0koMJxbM/j7KgkjPWSpcJV8QUF6BywBoE59qQ8cdoXHXLVExf5mMEB5cw
Ws9js+k8QsM6JNvBmnZerNQGxFlmbSMyndIPAjMDqWcY19KOY0zDgK49z+qM89xOSwvOdDy4IUiX
vXVFx754ijoODYAoj9kyBGyh2p6GJM9ulG2116hExr1RNZG3jhkh5ssscVimipjWuBflMmlMusLd
mWGfvy3+kfYmVV71xQxxmyNwL/1AN8bIUi3TS7LOwZKSrH5yGvU15603dVUidfCsWWaL/Lt/1ZmH
D2wCzEVDtYxI0RaSeITrrm/iIn0hAibvOgZj/OIx7g3yfdA85ceAsXhFegTxFgRdnpxlKOuIoj/O
Y6L5UIZHiC3GvJuWCa7ppu2N0PvmLalT9uwq49RgE6hhqTKkd6rUemyxZHaad9ukV1zpZjFGH4jn
KwgviMB4sFuItUarfVR2VJxGnHuvYnzXHrUw6N/MOnZfws4jwKWADJP5ow7izrE35ZmTr0FEir1m
m9MRaYwXbnK7/zK1Al98aEW+hgcd088Kk5x4SMWaKiq8mjAW8VvECWu8jIKDBSXS4FO1494sEv1k
DnHGWHLgzCjlhPtr1nW4ubM5RXiyJ4QTCIb0Rzx3VOe3pizZzqY5vHeNBAckHIW6g4VViL4WoEOs
y8xbjPBn7SHOPJ1xRcnvxqGwM3TVHtUcd++K3ogOg3D1Qsu5C1Bevwao3ZkwUOKcIkfhZeTIetzb
uhE8TTgzvmpSaR8S69HLwJ3CB6uYk7XA5Xg3mqOHq2Dc4+9r1V8Dgj8pJ9GYVU38SGHMmDiw9RXM
kTvbwOZ2hqgzs71CvmFR5STTFTjXuNqd048kwTgF+RHMX0xUGqu6aKe1mWIbM1Kc+I6DO68oaqjC
9NirwsDo2RvjtzSTUbHW6JPRpBDeOtnhXo6a3Hb28L2dDW9HL2+uq1p6W7zTnXWa20fZ5NZaMKlD
2bh4PnvhmugQDV9fljN6dQHRJN91s3idFW8clZ27k1OVrnJMtnZmG4/3lS0jItrc8IQN8oemdESW
c15g5tTLI1MkfdOAZsHMmbK9pwMPyLHHYVvV3U5Frf6WtgLrQcPk1KEQOpodps+NF1dbFC/Npd6O
ySUGDLsUn3pMXHB6o6m2/XYYrwdbJ7XBHO29VVfRWs97ZvqV8rMOj1xJKXgzigYOGDTqrds2WGwj
mVBaOe+EHZervPK+1pOGTdWk7AuMVyQRAPoBj6HbztBeY9vcMusgnhQiBgJP7HirlyGfr7s0wAnS
flR1gAFVCWCE+PTCruePpAqf4GreObLABTIlTCnJXj09HnYzFm4rp/XeIIY265k8Yt/ThPVYZjHS
4VK+jZ6gsMJA3ncjiQsrwa2Enm6TTl2MkUOuWmi/572HpAbDFrj9BDVuwqGDlmPM7yOcEhvtypZk
LsJOJm8Kv+iqCedVXbuwT2qF0hC5U1zGxk7Mm76Kn8d+bPZdG11a1aPu9t1D5SIJi5r43jHCaO8M
XrpmtNs9a7KGZT/07b6nh7mEmq3t6xEDZ83FitEyYufZxmWRiPLKdv0mGupDXNnAo8Se0U5gcjDu
ykFQQse4YZPAAbeaZBGt3kY5TgjS9r7pNtzMo6YIJxSw4htX38mFQnLRQu1oCKOIUFFnsl7eT1Yp
3vOAzgPAhQjaQ5i3rGiCulS9AtU0kYvqSSa2ogmjcpVSD+Gai3T0Co8KJ/Yb6DJE/XqApnYz0HKm
3sL1kQFeiWnw0QTIT1ZclREDHoU0ItKlkfJx7qUtCln2nU/cQwbOtMw0prILXjAP1jYBNIJtURIe
wQh2vKo4457cKphOGvnEa8mcedMS+aJfJZqFH3brTbQdncO2NDQJSiKxdCciHvvvySyH68SexKUu
IJWKsE6PUToEL2GuAXKHpiPuRGO1G9uq6UTCudffEOfZFsy0fml5vRZbushSzRfyCygd8OTQd0oY
9YHanrcmok7bRCUNOuZG4bw90xD0wW6/oiOSflxT/pForG6sel6nkLRQlYTJeubIP8i04SBtjOBo
RBagQEOT7+JGdXGe1Jyv1yuTpHosRg/om5jZpFm/Q9OfP5//iufm8g7vM/u+dBJv5xBssJdGql6b
vKUHG2sJSoAK43ogQIEwBuRqK3cu7Hsv5WbGdYTdWtRW2zNQrLKRMcpYun6Xghtn8P0Iz4vJfNE8
PiL6aALYSL7Z2bnVfCnRiB9knPCO7CPzbQPwcmMx1n/OO51fvUh1PjNErkNtFeNNOlLvztBi93Pa
YeGupqldjzD1D/haBQ/Kou2r+kihY56SakepRm/fdZlT+326pLjGM6gI4CWbQYfoNNBrzy/N3iKs
IcAMg/WvzxpSzVC9Av5hEZAmIIrufOHVaFtWIvNaIJkqaCPkvXO5bdNhMC+zihgASwzWRZnMTMhm
C/AqmNPjed1pMRRjrEA1yv82e8rqbL6NmPbTJo04C3A0qOBDK0DXVlB55tusW+5J1jFlE/wvv9VI
YlzPbQOkXJtCzSeJ2mpXLlBc08ELdyZc8udsIJMJliBBzKwAeFi8N5EavGGW2PfwTbQNjAoCdrIS
PH/RMOB6qD/nOi9JC7M+OMXyp2XL3RL24qcuDGc69bwRQQe1Z5FbpunPkbBwREVm5e3ihnUfaZTX
wgFn9c/Ak9Bk8DFjbXHRJ6wmY+ZNk1ErX4ESC8PnOO8fWzmKS08MwbGPgvI1gA1J3mzEo6NFPMKm
0TGbJJ3hGChRvqZOA021wg9zNTV9pmMbnAXijuaAb1hIG/grCMPUWLtQuncoLOUlfUv9pcXBnoQF
iNXHruQ2YfIgyTkgp/n8wMomjb7lUNlRgsdceuya/pi1U3BogVzzVedqzSvE6XWog8hhX5JgDIdu
nc33rSOSZx1BPVqpVr0XOAWtPYZ5u6aHhq+3/DptG/Cwj8xKgw5ubYPJ/a6t+3azOM2fDCDwk8pJ
+KiR4eKPbs/iIguluC4MO4B5s0jrWjofyy/YDqG9WIAfjEWh3S+rYFBAc5aygBQs0ySgmlgtyI6w
8Y420p03mEDqlVGkVq6ZxfJMl7VFggXdKb6q7I9EKRe70A61h4Uw9+HgXp+jlFvWYK0TeO1YCnO1
UC6qQWOa9xoKQh9bayha5LX03wkiNTBnG8T43JTx+HXsXaZQDQV5DZSqwk1EWcHJqJLqEtJrcUVO
Z/cQ64P7TUHG/4jL0Tv2VpRNq3DgZDJjuKmT5UywHAtWQO9VwUtiWzBKmtqokXGWANw+Iqdy+gE/
/w/R4Z+IDgbEhJ/Qc/+1ff1fPyQ2V6/59//zv/evw2v8i0ZG/HjJnywHnvM/iEgFv/6LRkbY+h/S
tBcBDRRO/gpmVn96oUn5hzRgRpFTh98ZxowMsf6Uzgj3Dw9E3NUl0Djjsv+O5YDQ5ufJrckQyv0x
F7KxCWP0tswdfpom4uyRzYkVyvumUQqLkjkHW+wFn3M9ZzgYKBO7jyjOGP44GCZEUardkbMyQQ7E
n2mdxa61zpqRfVoPssHXbLFmR1Eba8TSodF13gdnfug3+ErEN0k9qmUDRyJeRmMKKiPlRgmyxaTG
7kZcxeD/X/bOY0luK+22r3LjzqEAcGAHdwKkryzvSE4QZVg4OPDePP2/UGr1T7KNrnrcIzEkFbMy
Ezj4zN5rJ+Q57+ml0rtFieXgxwizpMFitVi0paFuHq1rZOvyeqJ+zbAnd+OLjwf1xcXFkhAvw8cW
ynilOTRIB3dupmNJw0Pz2ptSvXTxON9oOEoojdT8dW4AQ/pVnLoht3D3fWhigzsS5EFs6sYtsdG3
BhgIiCBZaz6uAXh/ptT6pDv975rj8ytYV5F8q6xZUSSsTLMfvoJ8sSylRa1zvzTCP9qit7eVOTVg
4ctpzYtHB+IGiZn7NyiRTcTTJm+tcrzSDtGNE6Ql1QxT1S6P/tIPRMrb8srEpvBuJKn2XNR2eydn
MtrsRKnL3u4YV+KX4hmbcRbjjapwfovy2vOaR1AWTFWq8ezGIzMnae7Rtbyr2qlff7hJ/onUY5Xp
/KAY4E2zo18vYA8hBMC2XyF8led4caRXxb1V5tFXY/32Y8TuXwyT+bTmUtD0isKPSXa3hfqZm0Gu
YWNsCda4nPpJf61Sg4/Bt+mn4sJKT2PJnD6a+VMtTPO7WZUGgeBUpBKxx1kgxryxvegptiZz7yek
xqUF2hIHJ+whKTjnJcvnfToIZ4P7qtsues41LTp9uNAX8V44/XlEmoNnObIPCGPI4rUi4nKnOWUg
MppbvfLlzk6+ZpWvTpZVjm+JRNmcMQt6o+MSR3fOmkPTrb4OEFk4q/tdl4zTHTdleuUOIGIyMCkY
St71PFFN4ESNw3hVkUbikU6yymAmonMTQl8/K1B9aYhsQ2CIygAj/1TwLQVdkajLXIr6PHuZyWyj
qL57Ga4F5lxN6wQ2zoPDtLjGrpBty2CwSi6yrtMvaRinG68whkv8rrw5E1F5vq3log5zI5UfLlZs
3mkgia5bRsBnFiDk/y3echjt9d7UUtqCYWyfLYmBwI/T+GxZjR+uvo4/WWP/cmatEg+iH8DiiZUI
aWL9+/mGMdnqRfHgane04dQcfl9gXGqzp3niyd+4KJQwWnPtNOXyNpreErbduhuxxlm+q6qcrirH
jJh/6vWzW1v03TLT97VXfQFclCKzdfLHvOZvSQeM+OSa0AxkqyyrBJwb6F28sN6Kp+2cUylN+toc
ujNvde61+RLyEXxTA7n0QEr3eqCSjt7YVWds7U4ztwnhovyddLFXTcom9/OypQCgOUkoeRqcgmej
KiOst57+xdPy9tkHbvEMja++QnJHO55Xkt0QoVPJa6Gne3a0GmSTyV9bKIZPewu2gLtNPelde3r9
RynwL/UTn+KE/z2v1o8fDKfHCtpB34rgc721fzivxpqU4HhpojsaW0fDB+di+Wtq7V4tPu/AUCaB
Y3WrPag5wR1jT5VfXU5NQT/t4e9lhsI9yPolq9l5pUP1kg4O8icf1Td7DSyaXxu2qXzSGLuPddJr
u39/9vyzN4CkbSVEIo91WZz//AaKJW0bQ8buXUaPtYUdQj9UxfGudoAtEPnAORPVeCPp8TliCmlr
W8fDBolz277AIRd9cO+Jlf9RvogJjZ8zTrS6JlHmuzrzogcYN9SEsogJ5/r3v/vn8/iXDx8JLHkl
5qp+ZPn48+9OmObKux7tu7Jf676xbaMPrubIOzSIjJ+MJVnW4TmGIXegvmYFSMprUThHr0qGU7nK
CUfiGY+ZzbyjdGvtoXNyaMUjMzHmJn1xvXhtcnZN3v+Y+8wLunZsPwYeE3xFifXaogo56sviUU/X
0Ad6a0yLvTu4SMWVDZHcJPux6/vo2YSIdNA8zTu1bNi3EdzHXdaKeFdlcvraOMWyb8ZVgI87c7sU
buGFnWlO34245bwyc0sbQnZuxnZhiL4TZfpqECXaSlHUeMaQJWYWrUHhcqtTE0BXWG+9iNyVdxxx
ctiyveHXA1nCJLox70iSYgaSKzGEJOjJdwZNy07pkjq/HofvVpavJ8j60SiE2j396KVFn4uLOOfk
wyFGoLmZpw86izh8TLWTfHFz9SbKHN5QLKdjOprsm1fhp2aRmCUnkt1ssimvlEF01Z9cCBSJfNM/
XQlYnqkZPjUaazn4S9nAWZ33qOlqjJxG54b4J+UUfJ7NGUTp/RwxWnQB/oBgAUO2oxSrXhyzW0jE
5Uzaxnl7hMPsbvCBZqea1SGDKdpc2BiaSrBJxMWuq9P1djUQuc4jaz6O/+7VHK3he49fQdv4jp27
jM484CtYhonxLjp7m7s6EoeJAJMMf0MWZbvMgFsW+OR3HDxCpDYI093jZOWPRI8agt+yJflAM5O9
XzvareDGGjctLdg7zmqOyJSuuYHIdphQbe4t7toD88K15Fy/12pMuud2IgBWgyO9mUAEAamanw0I
HBtR4ivm95E51mluCPATXKyK1W+IZN99E8x3Ng2A7xMSBwYmfjZrpK8t9X4hQa+8NNFX+GHVp/KJ
50DyxDYoy4KlGoUXlEmunlvSVsEUpDVTa0gG+hTmgtMgYO0u3zUs8HfawAjM0JoJlJ838ahqc2fT
LCvpRMievQ/aeZ23m3LkMXRYO8Sx4c9R96lpkSarfI9JJYFEi1E8xGzKkK5ZnyNJJV4lktU5jA2n
Si+0rlvLH39mNZ+U2naJa/01z0rO1a4mRX3mZNdDrViMc2wzYpq5EEhCHUEyadaMvQsGs/higHLz
uJ765RbKDX5G5hbTXUNteehWNEPQtsvCNiH1jl6/aAB8cjiDHhmXkNaaZdxaA823R9YPaRoNIV9j
s44YYOaREjbFzabz7ZRMryrSN4lYsg/XHe9IEYM4ZFO2RsGYukWYjWl+5bq5vDFzdwx5GBDo1q7T
x88T9b+d7Z90trCZ18LpX0v4r9PsRZb5y0/8h99/6G+9rW/9ZhHthTYe74dguII47g/Et45OX3cg
O7gmRxMemL/3tsJd/4v4XfJPu/kHEkL85hg29QSK85UI4f4lJIRt/3I8GqxnV3uAj36f3NDPcPkf
q5RmSGHPOkZ9gj00bYSV7ZgydzuRd96tLQtZsneLNSxkrVwI8G2cXnuUna3eM9cxwaFNGjtlVsc5
IyvoP5poHnrSpS7YNSXqpkOK8m1oElbBnO0nacTZRTcqk+1I2mxgpiX5ibMD7k/qD5tuUMVZVbVW
fi2Yu14Cwq+WfT4bexQ1Q0hStFntqJ4b/+uQzMI7eDq7kqYDivJlGKfeu5lN22W8Q3iVMsvO2gpn
KIqQttdLXoZOk1969v45Tugy5fnKYeKcO5t5c7zTAOlbIQajhMdDPqKJHK/wttKQ7uC7LdUVE1Le
rpzaxg1dsL1WdGDuKpqJSOZ6lXkWsNk9sEImEef2Ju3dPLryOJUwVkUZnyeOOVTX40rI9nW8bcNA
A27IyNDfiJdvMcClMrFHPHdFa9PBF6qM0jAnARTopdOTcxUU7O4Am2IdBS8kvaW2jA02TosxvgMm
DaVGXJkSrZmn8NCr9yWa59ZOww6jqY0DrEyowU1riPdmOkXNFWop7Uj0YXNDPHVEKDVTURQfhC+0
suCxpw37mMXxPYElhH+IVl/Wmcd4a5DdunP8dZhQkZs0Zj0KnXSWmwRI0G7w8vTcaOyiSuJvj2XZ
9fu0GLBa1wVSATKT+6MH5QZ+RbrL86LcCEfG17aJBGGQ2bRxLKg8VmcLMkri8tAu8B2gP+TPUaFh
+WQ94wWLNlTXzKIf0zIncTSu25uRCKHbDA//V5nDIY19AyNZJadbrodyNzNYeWIEE7FpKufnVKKa
DNmwMVN1zWgzGol75bOEeJLVJA4ggjTGJ9HUMTMEFkHdJs4Rhe9eY5S/bAyXvfxTVXu4NBHbPtaO
Udy385SyaY0k8dLALsSE1qtxp7AEW3ssGtNhVtG1OTE7RXccUSrsxyyNn0RVigt/YbYaGGSAPCAx
oZzw6IbVuvfIPozRIlpFuLCqgrgsii3wKbCCYPQhnyzukbHvAyLETat6okUtau2zAW4ERywo51Wm
1w/XfRzDJZrQsxEt0EOUmPmuezTetzJziqem5ZE7RG71Opry2aibIYQm6p34ppF0VcIK0XV5l8uc
TbeR08pTYU3NQ2yI5UsvFpYd/jiZbwp+74VGjcpOrxbuaWR/s7NU9X0dwR4MmwQNxlnA3yJXsfDx
+i/wGbLnmbjgZzF2iR3atZc+1zw+N2PKHeZoXcNyyTC3vjt2u4RF7lgqkp28JNurRszXhV/Yp3Fq
ffa0c6oY+qNnuDZUQsa6vSj6KkdPbopITadJq6YmLBnucxWDmJG2N0Fa7bR2Y2n1vC3HvgrHaJTr
59IFLnvBMNb0sLLb8QRQljIJlcCT5Wrimti7x2Rp7lWlue+TXRJTQvos0ej2iJYvNKtFPbgQwi9y
fY7YcltV4JCuu3GT+OhbrXs5j03NrdG39wtEjI3d6OWb0+teUCEevBGkpL6CIaNHMLQMmFU+VuDB
YusxlpZN25iZ1sqBmZGwoSW1TKP/2tnapiizeM1+RuyYGsYSqqmhRK/il1bA7MpGcDvtUJ8h+o1r
EMu0YaMovph0BMRhIakm2mGcz+a0wkNSZ0Tn3pkad5wl9SuDpcmuKQ1Nkm7mlbepaiGC0bFD+Ouh
cA1tAiEtixJ2KuAvyQYwZQcvd7RgXqbxKO6HLvJe0zFHBNonPXS2T1Iq04L5ztKgfZZDYb+gr4Bs
uU51AiQnK4FzRXHHBFBXbFEk+UQIcJHPGMbDbBBAhXaNgB8CesYN4Pi1MU3kkQZuYPiHx/IM06+8
AuKUcona4GD06a3mmXdHgzofYwaKIX8pexkVtUcARSxWams6a52ZEHtfeW8W246PUrPekdeZ7KaG
tgvnOp8DJCjbGpIcN7mWXo6T9C59kaZnqZdAR9TyJnWTZGd9JV5P02OpN/fTavX3CNhCVUznm+Bw
IljYsBF1Lv5tjUiWCBtTguSkmTyAIr3K0iHeWX0SbZqiMZ5xQ1h7RZbWjvv9TS2Fd1cjiAllnZUP
sWtwgtCBnkZws9umiezsEiQNmo+2GC7LQo8P2jjNgItymB2WYZS3XLn5pkDNe0NYAplgU6vpzHUN
snYzy3uKYbKf+A3njTlWBfFYFSKhLLXzmzzS7F1Ga380CHUPdSAqm7nVkzN5EC5avKLcdz2DOAsk
0FcT5/om80q2lG76rWuNV1VXKW5kczkPYx73665ewmCt86BoSwS1OSmTs5jaD0MM6RYlc3+vdMfe
AighyTomjMnyWAsDGI3ukbe0V+y0u/3oi5rfImmuh1gJA56Nj47GQpUeao3UjkQKg4qSoV2MSJit
7Fs9jf0uHr30PfdcYowWaDgce9+kl31vgCgchcbjXifZaVPb/Ak5ro9i2nYOQ9KRCAfzd0Mcgrkz
u8Q4L5Wm3nzFqL/LpLbv7EILLDjct4qBMVocleyqTtXHnoJky3zLPyDuaXfuROWljWAcUlMOF0le
ol7OpqpmZkTiIF0ie+mKgEzhtsVbZ4/oy6zsgVBjI+xn6RzGQQCHtS8ZeFSHwsrRKFe+uSsN+63W
q9u+9ygdkkKRwbnsOaIJaRUQ1hNrDiQK2l2SLlQYGVlGqV5euVVz6+rt3m/p7sa8D/Q8hTApiztP
o2+C3hXviqbygtoH+wcmkkh4KVlUZ/EOfd+lyDXtzm/B4GRO7x+A5hAWJvJbxH03c5PIHYENeIZK
rQidbL4l3NvYpIBU920H1qZbaEctIgvJ1O6NfTGIhUPYFddaN5lkRmruA/Kw5LCoCF2UbXyHA6Bt
2dDnoEHBFpgJ6UtDlEqeB6K/HU3Df0vyud66GpcfdI+DMw0FJALERAD/CEK3eyPU/ao/TnnjH1QR
a2g/Fu+Ud/NtltjfrMh9/G8v9f+F0yMxmQbnX/dSV6wM5P/ZvCDX+7mf+v0H/+innN9s1o063jdh
w3sw2Pr9vZ9aLdEI3XSTiSv/YCnJDq6T/+//WmtuEns6/rNu6iwMWfH9raciN4nkHWac/JhHHDcb
xr+Qm2S5P1vnLM93V5SBQGxvrFlPv+aUsNWpWoCe5nnRbStekDbEc8fG3NSJsG0vtc7ycSy7SIEH
jzoxgIywfNXMjKUgiY6Hdqi0c8TvDrcT+VpMXG3oAvy+LOPiIBvRn3CbuBuofQTP9YV2j4C4Cksu
3IsuQRiPL8C5JzN9elSEPRZBX8IGNqoaSVyr6tBpqS75+4ydSXIJLByC0PdM1slK5meoiuIDTdCl
I/LmBM4Te0Ad3Y4kIE5tuXH5HJn0VcahbivBNMNL8W87J8OKoFiRSSnj+r1HvrLpVUVy7dCosCEq
4xJ8V7wlJHdDhh/8WQeWetYiq4IbvZuZk+7tFXtUxOZeK+zi2Z8HtW2rFIsHuY3Au66pt62tFqeQ
ysxO7JCpwhe3Yf2K3OH181WeTAzdpis8/zC3fXLnIhAjRQCnS5WayBzKmZlJVRH/16nrZvZ11Jvp
ss2Jsgt6VimBpVcCsYEtNnFCSgFn3wSBELNAmriX0iBS2hD5na/naz60u8dvc8BfkNLeISWdfXa4
FizrjRnpey1RRmjL+QlW2RwO3fomwKxsuh6MdDb3cdjYmrPNvP41b/2NmKb8VAGku6gaxlTCnLYY
fEDJZBWBmXVBH+BoQWK7blDz8PEjn+iLkloiRRiRLJH2NAskj0JnKdqWnM3o7aedacU+C+V8PqKn
pR5V1XJsDW9AY4pCgogk8qZbbd60k27BxAOfZHuY1HoHgJdwrC2axW/VVFkXII2PMyVLyJKg3vRt
MwYii/cS3R37CB5UWaZtU1U/lK3z5E0L3ffoBvGAxFIrEn1r6Ivcu1X+stjqm6o7ahjyW8NRjaCW
fKWdatP/jhgWL8GASmVlidOpBc7IJeE18a1fqnIHqnXGlwTe9lME7VHeWm2mgzSyj7WpjG+ztRgh
OjHE5unrMhPRSk1WbVWi5oNdsBpcqJcguXAt8DCsN25cWQe5EH5qsdUL9Yx/RwroF63tcvwaU7Rx
SEQmMXKu94bHN1gCttw5ijjDSKhH+rn4stBlvhPea+y3+gkzaB3aLHseMsvI25DyzsK4kCR3OWMW
xMhIhIlFmvdV4jcPejF59JFwRhbSYDdMCy/brsl2nkrHrRmRZIguLd/Ypu5ui4mhIaW4fpMgRCXl
lfoORKIMewISN7ITal12OkfDJPI8iT0Sa80YvtxgXlDQ9RvNlNUjSCU+RSytG9NSLnJcf9zYNBGB
bpcE/thKf5wjC0GtZtBhDegdO1mR6Ys8OGiWtGAMIGY4Sb1+Mth22PCmHMmeRCPgkjTgEdBP7oQ9
CedbMVNv86v2Z1crBP+jdi5KWjbInVealb4mgyNDVXjZcahd0na8AU3ywudZLa0NAjlTQSL0jyki
RJLht33CI2MyDejudUAxMLick7e47Bwa+w7PRb0ddVFuJWzHYBkzZ2NZNO5m7b/1XXaXsLKNjP4m
o+1GO5oYe7JbvufWMu+yZsEi556TcW303WJPUzAHhVUUOzfGv5FDWtzMuI8DYg28wLCSl7qMsc14
y31bQrFGShdTELtaMHqE2Rq6NwPfL03K9ZpLKnaay9l0d31uvvg1VisP9xZIvJYdvCnjMHf9bc8o
nf2FQmRefx8wyQbuMkdXdqPEXs8M44RMNd2pjDwe8FktXVFakQqSewdJGHiZmd8cpz3TG6pja09P
3tgCME6IXs1m4Rx7PSkefH94zrCvbKrK/e7IcQyHKOnCMc4e6BwvXKtrrioPOXfZIIslOeiS6V4A
5+omkxF4QiG9EFDUR9P0zKKZPgX20pd7i8ZkE1F7bWsSmM9zNjZ7xgKUbvSvh4x4WtrObyAs/YfZ
gj+YFcbFgpB5hw0Zq5xH7OXk8YrFQoz1YCU3LfM4ZfAQmrSIePLR535mZLhrWOJRhtr31corICYk
uZjr9hg3Ncb+QVCwdb1J8AKPF4lM+WuWTl/GqO8P7uy+l71JQwp5Ydeb3bifCtrYuIB55CK4viY5
+kaPXcDMCAz4xcfLCude2NkmnKXoDg1muR2pkSf8mQEHGqAIqT33fsWIQ5veRVJBZsTMwERrIUoi
Qe89R5Fz4PxNTpJ2ZR9rnHIjJtawbzzErkQu7JNF2LvYHcXOzCpyQayKGaernschsY+L5hF+2F60
ad0ElRZ/CK1yT6DOiVXFgRVYlWPs7BKutWHl+smrKMNLiyf5wqm6a5wGoKo3L6J4zRy2tI9Wgnww
5ZrVar84TBB/8XRN8DPL8anDHutyK2K1U8wuufpy7zqyGx+0GMF66XqTlQp1rTjUZkmnFZL3YUaP
kBQQF+IenZvWi7d2SzaESnEGsGZCaUtUxp2wctdpvpKQVSzFqRFD6/qhKlkn2cw2s4RwjqComqVp
fqcG/HdV8SerCuAiHiKDf11eY3r/qaz+2w/8UVYDm6aAWJcQjKj+XlL7DohqkLFghMjnND91fn+U
1OI3W3fwkoAm8h1+juL+j5Ja/01ga2Phyn7wc4fxl0pq8XNJbbOlwCpJF7Duck0XvP3P+/w577qB
WHXvpNf5dKEpjuUxNdM7MIL07sWwgKjpLCbzmc3cMyXc+EpQwH5VymmrIHJb7caIXT0moGMebiyy
oZ/SxYwobZJpepNdouJjWYsazmyBOySsJ7pcEJVgPafMxR3Ujbd9UwksdFikMMPDRXsfhtk+D3Xv
PeETRoqEG54bvPMMc2YSNxEaAatP+lZyHOwh2yr0Rkw6KLRQS+TCeYf7lH0vYOPHWbZcKX8anruk
tu7SSMMs2ON1/+gYrl7H2nCZkv9BkYlu6esSifrFQtrzPMU1NRluiQ9NCLIEfExtddBMLt44XOib
aRbtDbLF6ZI4AyK/CU6aP1z689uyUCRguwPOrQGN9dGxKk78uPWMhHhwQaqZVKnCIrQYPkPBXmIQ
ovvIoBtt7SGSX42ZPKBQeDk65TWskRGlk93PhpTXvY1ZqwT9e0gg4u/jxffg0Fm4BMqpAm2X056Q
o0QQ1lLIDEDFLOH1l4bZg8BJiZjbkP/qv8+GPhH2BoZRD2U29BeOD4DOjNL61Eep2qoWq8maCO2E
WT35F+uuOLBJpWDh7VfelTWXfrKLBre/G9y8PsRsbg8pQV6vxF94HRprVr6htTjVfQ0K9AQGSQt5
pvPh+Bm9mVYV2bXhRq4eePFCajOJSX0Y2+7wJeuZEzm91XkX0D55eMhlnvCZxq5/ErBtu03MAHSb
tQXRU7JvQqK5axQCDqWyxaSQdPmk7U6dInwLQPgU33hd9cGGbe4P+hqYjvmGSIwxZggXCIIXxyCx
lu6taISjHVCxZCBXJ3VEclVvURMpghAKBzorNJUbZ2yGTVkV9o51TuMGSmD2NkpfQINM4Bot4F/V
Ew7naBpuedbAPt0aCzvxPcDe5G6cXXmTmxDhs3e+XaathMg0CZ8tUgWpYdlaGpDkV7qzLrjitvbp
sUrsDBZ23NEekdCwmXiMPV4jauuNypZ7qyX/kgeGwWTMwHByiEj/2GllxLOfOzSEOuGe5s5Kd22e
4iJG0hgyjgzRm1INoeHGE2qV21av8rBmKLxTOPEDze0QiiHoCppYEEqVGhdm5xsgwAw3mErrDmbP
IRt1m8GcFbGpb3RwvcXMBKjmc+cJXeXBYGG3LLyGK5AoNv1KW3MFKcZ7jIxN5O8StXQnEyb5ljbC
PYrJH89sPJLNWOeIyuy+h9OYL/WF09b9yVR9fjcbFJCYsRx7j5m3u9P89naR3Jgp8eOLJx5R6TJu
Y+joQUXYKKpoRBKqfdB6M7tCleKGbVGTSTfZxn2DM5AmKC8A3reWH7AwIY6CQWEABcELBzJjgqFP
b4RVPPlWk7El5caG/XpQXXwHMVyynzQU5RuLUMVsHrd4myGDWhw2iamzftrl+ICKUG70YfaPbkmo
PbOIYe+RAXnnVD3Gm2xJySBv7KNrW/nWsUFV43to+0uiOvRtPanpPOf28iwyy0LuA9JJsrgi/4rB
oNt37gO62/6iGp11lxG3nCkuSV6M7OxIe9OJjmPKkMbLtZ5y9xKprW4WQo++pyxuDyXC3wP5vuqM
y8yftnEbT9BVFpJ6Cj0PR0SGYZykNZkwQ7J3m9y7SBsTw4IPRTZOht0UQQ5B0Nlt83Zd0Qg+lNsx
k+k2okgCaBtnfNqmUNyoHhz3tySZeYh4YkjY2U7dRCihVpwTW7bXqvXG90FH6jYUKbvpztS3OnmW
UDLcfkctlH+pKXFuWClXyE34+r8wD96Zdq9d2elUXBukkW3mLNYfTN/MPtrZ6r66Rmyt/JTitq5l
vJ2NWt9lldVfDkvnHZVuUb1lIGC3eDczDl2Z9PeJJcoTmwvxIlouaYFt/jzBlbz0CB85YLc2rtt1
9Uud13NXjfN9bOSOhzwYGy9ddneGVj6cIVVHB13aMPZVm2Jf8jgys/ja8Ft1IAImQQPeu16QDjhK
yZ2JN0KhPkN1I5cTsBu5y1OVXyVmRkJJsbA7y1mXfZsTc13AaUNyNoe0PbQmADm8gdNr3vUM/kW1
PIhBmGEVKbcJiKjr4sCt28caQfV5kdF4XsZyoLVydMX1Vss72+mNezSt5m4pFU3ZWGObJdhFPld1
1d6IZc3UbcuI8Mz1tOeJPr3gx80ehLSQxqNuJpRgFCkSGfbliqvyZDfdbdfPrbqOGwIiui967fhs
8mZnNFL9y6zFWXEoJ7dJni3bjApQJaXT8yRKdU9dL6UcmEiLnoWu4bB3EMOUbyt9Wt7x7DvbKJ1B
lqJDdAMpLPTMTQMlP5Zzvx/1nOAd1GdJSsInF2l05KvMNjDvs1tRzd3GLgCYx1q1qZ3mb1S//9bH
f1IfM/W1/q2U5/KlbV/eZI9VuGt/0vP8/pN/K5Qd/zcInaDlMC+SswvJ7+/FsvtZEQvbhnbnoNf/
watimb+t3D/L48d0godXTNMfxbKBjYX0d2bSwvENsI5/pVherSg/CB75qxEaAq238dTAHvgV3Iam
z9HSSqsO7Mg/ZBljlvRQiyUe8Vc/dA//xJ3wz17JxJeAQYFp9z/MuTMecxYEHl7JXEa8cdW3irI3
GCPZh3/9lXgNsBUW+pR/sN/EgPiXpoLJ0o1pjwlOv26HXAUOCRh/+YWw+pgQenk5ndf6uc8Y3Mxg
jrsAf2nTjzRLPzgCPxT//E9eZl0OuHzj//AddY6Eq4ni+xBpa1aoR3GwcjbDdEr+g4+OaxXgK90Y
IM9PiNwPMvS40nOrlLyjAdLLeYLKAw+FJPKmUH/yptit/HrhoUrjscX3ZKzt4M+fHc0EC0IGBwcG
TCnl8Xw3xxPZZehkBnyb//4T/NmQxZWNA8gRDtI5zyRW+VeaMub6knuzrA5+TSim2yJ5Vvixg1JL
XnRv9YFYaM8Nsjf/+qXoORYuNR90puP8ensxXaFKkyT6VKQG3PdNLagttPRJQ/DzJ/fX+oH9cid7
Dro8TgVXp2j9hS+39KqfkzKvDuRGNAdYOPMW00B0/+8/yX9yF//0KqtC8IcLhIh0a9D6jFch/hxD
6vQ05GNxKpr/7KP74f2YP78SSlWJxINXklk/b5xJvbAFzsI/v73+gczH5g/kqGOs2kqK0X+guvZj
hEe6TQ/dml1na6QaApoA4yasLzVe/YMmKrD2Spo7Zl12GDfdnwRe2Z+c2p+/PdxbnsfF6fr4836l
rNLc2F5eVvmhGog4qvQBk9pcdWRJWfm89SOdDBe/MXY1yVkHHd0zrRJR34Ls1dPAlsdhY0V4pDfF
fdiUxfjmyiQH7RSJ40rP3fVu+gF+SxzjBTtS5cJSQoqJeckk3SIoK/6XmVCVrY7gnlUEjjV3qvNb
LDjmc+qaCDsjFX0bcsTgYz7Zh8hd0qCcsRaPVLnrAsSJQ7wAWo4ikVXFUJNJ2HWy2PZpVmw72HD3
naask+4v41sd8aAx0HueBsfgVZRFcqLXDiqUridLuodMf2X5gVym5ff5DArMI950Cs9nV6KIuI7N
hf0/KkoaQhFFRLuA4CUwQXSwTSL8d7UeTVvFvAVuQKWFuc67W3LOTthdXeh2pM1ELucbWfbFlq6q
D6H0GesWo4Sa4xviZOW0CKoh+tTQYah47P5ImYLyh/vRfI7lYF9MMVuv2CuzJ2dMkz1q7Opr7eTm
c8R7Zyg6kvJY5Va/8DsNqwzTrfwuFIK8oWByLBTcGm3YUztCQsT0je4BO8C3iI/mQqJ6uXZ69aEb
fKe9csxnhGwfUztG952zlMdxPZ0xnJGzjEgx3TWZvgZ9klgmb1RCzLuaCMbmodKFzG1Jco0zdrA2
CvKA3MICkzUMzsCioLyKRUV0ihMXHw6e+itQZnyI5M8WG1MbPfST652XtTEwNR3pFTIQZIUJHwJZ
RLAg2IiFxLDED96y2ihjN0m/+UQbQVUZ4TjZck2B7sCkhuXSONkeFYheXRrMrPyNI6Phi4wqMpRN
Y0D8BXmQEE5HL5qzBlPgmUBo+2Eq0vzDJO3yxHuct0XH4Y2nqj5YUCyeSm7uBwEESoVI4yBsNJbN
CILsz4Ed1oTjFossiyXC5UkWj6aUthbgZhmwISY4XTn+U1szCK9WbwrEJJ6yy0xsQsd93wd2Nlby
qSu0eNgjjlEvPmbRHWbx4dJxEUwFiQ/Cqh1I8R0bf/iysP7a22QCZzuY22ayUxWRottFeSnjthZQ
SwBWxHhd/GrN6eTeQs+GdRaZbPs4QHH+GivLvvi0NuZTyS/boJQ+ARVOZgZCcMqMlG/ClnH6rY7N
4jRFhE41U2v+D3tnshy3lW7dV6m4cyjQHOAAgztJIFsme1JsJghJpNC3B/3T/wuyVFeW/7LLczsc
nlRRSSGBg6/Ze232melX0yXHOUQNceIXgXwSFXOgzYrc17hw4qsooyvuo9zbpxrfEEq4jP/w9cYu
+fFkQIf36dDCdYvrKX4va48kIfTCtDlrDqYw+udazcPeKir8ROTjlNsFgtZphHGkQlrgRut0X60B
S2303vUtXhg13QPKO3TV8LnHTXwqCCPd9iHyTN7G8jZes/qMkl9LN/Lhcuhab8vmvka01REUVsvs
iTZ1udC9aQd0bB1aTHXnF2NGp5slKVrjLuem5lSkqctrxql96l1b1LW7RuOpz3oCMgcGpIiScfVi
M7MP8IQG9rS8+mvB39ss0k+J0jD3jeRTE9Dp3loDgcms74wH1NvWiaxDPo0D9bVfQ1P1nDiqAZ0U
2wymNJvCbVgPlf34RWktusKInCY/Fpl7azjoMoWef7JtDsq25fxwMLWQZYejBa3bHIRyTYvFo+ze
hlXWno2x5yT7VuwB3WoArxV9kM6IBwuzrwJn5KPbirTvRDGZJHdu/BLbJUM95Lvrapk7WDe3bZJf
W3VX7eLRcvkSivpaNWtpX5nVRW7U3ExjQwzPpjDINZFcHUKlIZ7SOYMR59SF4vnSZa7xro+cVizO
ct/WF+MqC7vkKrWnaDcAdOeMo5ghS62zr9Aa7hSyMZKAsdHaDL72TUcg6rA41WMycYUWyYZw0vG1
8cIdfcKKOLlzvW2RWTjlw1BHqy+nLCEg98Wt6jl7tIjTY/R46LMB9vngVf3OAlm4icohubJCU//s
GX13MWhgJLOqJ41D5Qe258M+JR13X+BIuOza5NqCe/2spam6nqeYVKh0eUp0a3xyM6JyXaaUeyQB
NnYlvE5l3BTXtdai/85eZNMWmGrir1UURj6evkeeZ7LdUEhCAoKeExWA1HSrvhazAhlWwTnlcP/M
dBBHpuSlB8JVHLUkhtFacvK2JSeOTjgWXAp8qf7CV1r/dsg6QtW7he9gR/sHuwxlEFNtgdYdMXV/
KExbtPsy9jamEdcjRguPxSkJNxxmKX0miVIw2Io1yCBbWeY6NK2arVyZtUULobPBKsAOESsaIvhO
h2rEZHJTF+ajKsziNDYWpGySYVEIuX1zsnLVB71RzGYekIldSediHk1QOLx88pbzDxdRiKh0BKwJ
sAYZo0iGglyl1GO+gd0wHNyTGGCgbEKnB+fg0w60PWFZXisZZ6WxS1xQVrzXthMBPIpwsLmyNsB6
ea2iurGZF6qJc312ZQYqr2u77qZ0UAEgl+49BMpulG67Om5Jb7N6Yyg4e9Srm+lZ5wMduR9TC9l2
bThrSiiCBXS+ch5OJTmNAXygz8LtYVmmKVFUhBYKW4t3JqP7gINjuLXtVLuEu7pKTWRBIpsw5z3P
qWmx5kQX1eduR5wUfrOpCT9lsZ1t5WhmW1NHbYoP1Hhm5Ddd9byjjdWkpbOrMHvNB8+5XPG4Rl8i
0iz6TYb5d5NL8EVprmlHRrkEcUrMhDDUHY5vEVGd0LCJcTMKL7fZzMfkTfcjaXXubP8Vftv6Q5G/
FsQkONiOlKzsfu0C6wmfmyv67BAXhTj1gyq+VlbDFRy7UYGegwM6bXPgPsjiU6O7YvpK94RJ4ro2
KKuStvjEi6s8uSaxi7NJq6OSmnx2pEz2BXpM71y2aXvOHOVBaGySGm8rBAASI5O9xe682grWBfeW
0MUnpEXLsPH4z97VDHk7h6TGbsJ5yj9iCEpfv52BJaJk1x+XddL95/3OH/JxaA6AeNBRebaFJeub
Y/SnhgdXXkQim54f4I5x9prjcNlFPUwst6Vm6iizr9DHQuEzF2qszEOPzuFnX3RWESUbw/urvvn3
jAda2fX3YWBjSAZGzB5+7ZvBfnAe8Pu0hfGRzdIFPI5mM0pyY/L+Lpx55f/5FfhDo87NoNOpw9Vf
0fG/QtIVjKoiGusc4hsFaRn2CNtKqAsldq/V4Vgd//zzjP/f3adLGOmE37K7dX9pZMuWYk/AkOBw
BfuEDYh3XoImvQ5SbixY+t42wwl67djuePPtFQy93XD2sTkau9iARx1muf2pWpphj2n7r+ZYf+iz
PYucHBPb1ZpxQlLF7/vSjnmvUydGQgDhnOxtLaou0PX91TP4h4kFn8KgwnQwy5rs2ddv5afbDsfD
EDqooA7sWi3CVDk1yhqZDto3inwng4KBVBqmMVa45z//Asz1Av+uFyVzioef+Q++iNVT+PvPJkdB
DG0+xgeMBVF4yNmvnrUw9F6LnroUyKE9X3saSfMA2j9m3twAerRROc4Dy5WuKuNkPexaHFzAF61t
1NXUciID1KEi75xWpXprwpXWtwJaot8mLv/Mq/9qXs3GGR3Ef9ZzYNnoPpW/k3SsYT38zPdJNVEk
xEBZ6KHNdYDEeffvSTWvAJTSa/4TFE2dO5JhzA9ZxzelNP+T6RBsgJqaO/nHpFog6wBvTCqQjsvB
4ez8O0rpdRz+832po+ImuYp/LVZXTEt+OfpW6gdQhjm+lnWN2CuH1MorKTZXI5iTzQdZZVa567Mo
pidIrPoyMjkM8iSK31ToLhXk6gKhFj7QBlL20sAlJTjV+QLzxdsWZQIZF7HyfK4a1pFPySKac6UW
/S1FvOAxX8gm7A22Ieeg0BCS7RONslZ2nTSPLLaH4TRZSTtetmTsbeOO/R1sAzBj2exklyzbQT33
IfFWs3bW+7mGpFSTFWCk5WIGzYzztTfbrWnGsLiHSZ/9OaX2dmxUujgwIrHzXCLXtoDm7NgXaCkv
86Eaj8SUyoPWgq0bqgJHGyG/0+3QaHu2yyYqcu9pLCcLEk/eFX4RrUEk87ykT5ONDNzqrTro5+kc
ewZhzug3WsNAK8PDGfRVDvNiAwnCJgm0hDZFTGULr1QLobOzFxVcZX3pjRvWd/aJsl/dKCDYmO5Y
anzhiswXGeVp2D6gmliOXSuUJi5kG03ZNm1X5fnoTPW+des435qTOV5WqcgTkQMimA1DL3cOScGI
yEYcIx0rajJqQTT7KqMrlxdLP5Wtt/iGguvBti7O+jSmUoha0HdHo8gMbyC11WMUQvSM4Xhudoxc
Tco6qKmiX1goGncKF+ZN3niI87wSe+rXlQvzdQ51gKNXJtbawrinFDF2TpdIHL01Co/nGgvrmlrs
DWdEF9nJKfuaC9VmYezPeZ8eE+GV1rbNs1tcUyBdMXbCJ8rGa5AMpBNTtnBbThlY3jqLmG4h20TH
W22jSAcySdbGHtLxtZHU012HcATZJDpkpJQtTF+Ij9HJdTsp0I9ztX0TM+6BnG8AfzmWw2MBPWdH
SKr6VIHc+mJ2jWHBPFYOcwQCH1AcoQhBA4khEvuUZ5yU1Y34QKOcREqE6AdR9q9xKobOXyph37BL
J+29EnX0GrVCx1goih0jQG0/ICMIJB93STh7DUvWmG7LqjP2kDZZeQoDTEHRuMw7MlOHXkjqOwUs
AfOBy+b+OCC2uEJtmJqbCcn72XHT5VQSkoo0USc2FxkRv2O6c/WC+WUeXTkxHuygF85Zl1I9Yw4N
X+M29nZIKoZ9nULBzZqsPPWGrB9TtVyxF7Vv1zv7mph6PZC6xaSvMS6XVGJmShgiuFZtE4hcm4hG
rFr/WpEfcV3ZWfQc1Qlq30aMGA2pRVTu1Js5caJ9mg7ZPkwYoIaskt9MxhD72mm9+0hgA3Co2c5u
Jj8upg5REQeF1EJyA5bBJiuy0Q70n+OT3VQsv9NsYg2fWOZLYa+KoB50BOmKuW7dOSZCc6NU1leN
gSjaMK7GLlvS7shY6Qv5ZJ5PIh7zBA3/vMfC3RH3tYVYiFCHofoivgGpUxHpGwYK9ueuWGEinlL8
GbV2xENqMoSsKa76gbw23alOGeNe36UT2oZDOu2sMnIPk+2sJgjgnJueAfyusyOMEyzDkwvDi/sH
UoIzP+f6PKipueW2ru5ccz57I4NbO0PVq2FTpsOzGnly8Xh71PG5+wbYLr7xcjdhy1SVbzLRvSDX
Z5MYrIIZPbhYdOWzboCMTe+gS2InoJsMMu7ue0NjSL4xxtmk/rJCf+yWR1dPjWCebKyEUjbMJvKB
kx0n6CsGV4aQca+hCzdgh064Al8oG/FQMFG6AwWZ+EK2IwZvRYKolVaXSGwztRnk9EWbymE7mFb3
FWGRRvRrs2wrwm2QXpvWs1mitVuMxLseJne5mUu72hl51N2YbVtfMLzR76XBJNBnsphBqCUqBrNF
o39y674NxNRXdywdGDXPxND6cdrj/iPS9itSQv1QIl98seDKaMHCrbVFKMuAjgILJEgUj+gFOfld
ECAb6Q7OpdksEdhzzSKnd1VTNWTCu6MdnyqvrW8aI4aW0OioDGYvnt+Tue3u7SFqUqrJMA6UPucN
NEBF9PnUOBs0V+YR2dbc+8QlvhdFYm0JPPU2lm1Wl1Nap75mNe15KavxNgdlDNfeu2wGE6WinJM4
PKI7yy5j3SD+wWzS11wN5kOq8vpS1u58r48Gdg3Nib074U2QpF3y1qspBDdQhQK1eZzo18CMs6eC
3cRT5EIcKPs8/FhnYXLRTw22o9FdHg30iRhwqnQ/t8O8DWegCeRCqhgaQKMTq43cpjuW+TLARZb9
oxA6QrxEqDLQiPX2HRuVWKPH+k2jZGRtpRtWp3LUBLPFjCQm1IFFRjOLn9ythMV17MZnMSFItofY
2c9TQYxG2oTLyUgM5wsNlI4kMCwTchfi0XdS3XuaF1sddLHwondLvSfPJlLJjmh65yyTun4IJWzE
jWa3DpJrIhlF4I7TuW+qdqfQ9JT/FMe/cUP/ojhmbW7+qdj5aa4KlGI/yzi+/8zPxTETALIBAZyh
5qAC/mEjNIwPKACgflredzX0j9rY/kC5jFrDAS/m0M3+VBvrH+jvJDtH19KRcjB3+Du18S+VMamu
uiEsHKzcZXD41pb6p24RaoiBOK4Zr/riLUIaFOeff2oVbn5r/v5V9sVNlZSd+t//+WXqoP/6Ab+0
hO1k5UU98QFuCvgfLV7vfSLYJfGQe779+UfZXMnflfns6olXprlGvs3+Tv+l/58p6EgEEsZlaucz
NGFUaCY6WUhprpk19qtKp8j9ElfIcvU94DClsVfK7TkpT7qlN1HxBtbKldF11EMi8OQeN6G+n92y
f0fW4ibFuf+tFNXXsjT/rUR1KTkuWMhV4cPcdLt0LWlVlxo3aVNR584pkkhm7WsZ7H6riM3B0UAe
4Kb2EGDlBTFb942H5Aw2qygHyQixcgk9RAhsqk3Zm6eWmfsjc6seQnfTS39hpDtCqEngvVxIKDmB
PTnLlWtk9viqEXG7yTQClDZuZ7a4ypErXQtNsghJOy/W7kco26LcWkMEnq2mQki7KdzLvE3U/ts3
8k9L/RenBnfV+iT955b66n349Pb7jvq3H/lxaBh01DDdLaZm36Va/z401qnLj2PCxGwsLQkDSdgc
LatF+XsLbXGC0Pe6HBM03a7NHOhvHBM8Q788W44h14+BUsUQixTcX57juBP42dvaupShwqgwCpva
ytBaLFq5Hsz4oZoAesAJjVBjoLJvBuyDkcLU5Ob73lTN2Q713ny24yUDDZ+38UUz0QfAMGkmMnd5
JX+0BjE8dxn7hi6CWYeHwpx8b3ARaAI06AJy6Es2qeNs3PWWgt40hMM1lPdwQlBbrt3C0spl02BB
2yWFyA6gUWBxthm7WIncce9AWK025BKSChlFFXUdw/vpRswzMMR4csfo4Alj6YnOS5ERwGeB0zBn
2VsjtYZcM3soNiMqhuswpCrbNLhE9aCoC+LaWJln8ljNraARIxGg3it6eD2wFGSjE7kmM7k7drOy
QEoeWBIgJu3k8gtWFyIki3BDbHRh3ZpuXd16Io3ALWfDNY6BTZ1i4Q7GuKAUwK7Ncmps5QEYZNn4
yB8W/A+Ih29at8+oTwSpafWllZmPDM8I6cLAggSkaw6hYSf9vgjNyJJ7Yu8hU6E41Res0lhNS5LT
wPlfQf8pSqDR86AdhTIqhAJ11MSOn6LEKrFcJm4OKeZJwWRW1t2QldDXmbxgObSTEIxq1gzCC7eE
z7Xepq6ittjV8E0wX1oYb2CEaEQ501XN2o4a3mCVZ6vO4nCkoZDdWeka0XwRYXWyOugka4RIheI8
DBqhhvXGkcuBJCN72WlTygKa9JkxH04diMsadsxcpJ3VsitXw7ggKBnNURnPEeMPc3mZknwu27cO
SW+B/zBbljy8/efA+++QC99kmX924I3/unyfki/Vz5USaxGLl/iPQ09fKXXCQfPGW9lZ9an/PvR0
hoXEBOsC2hQxy+vx8/0M/Aaws4AquAwlJcpXhns/zkDjg2V6hG5bLCC+ce/+zhlo/zK/11lhkD8P
oB28nUOB8Ut50TBjWsaoTM+t2SfzJ8GMg/ezkADg9NgDCIWHpiXL7ZBYlSq0Y4Ub2gZnbkvk3WOi
7x1NzW+tFfWFr+m17U/pPCwXE1vJ96bNZZA4OBmX5lB2kcPYZZPl4yzuNQw7bh9hvzBNxga5LLE8
6HOEwXHLPZzG3rWeaJ28Hap+MKwtw37osPfWN2WdQ+KO/pJbY57Mm0VokJnauNLL4pS42uizM9U2
5sAUAVFWtGAdiM+w7JravY9NuVQj3izKUHNrFKJjA5yWdaEeFEpCY+umwsp1WEGyW/p9WQ+uyQ5V
L0r9giVH1gPtbkAwqHYnm3q+sc28pHSZx5QfdWZtQcVLPuA/psz/qk/h/e8w9f7PD+B1+w6z7XcP
328/8uPhY1AvEBHSnzB2R2dNx/GjTTEFJBTLpbjG+skDSpXxowBxPpgOzAoakjVVgYfz3w+fMNY+
RfBE/mhi/s7DZ5lrgfHTbmmVxrNVtk2btgi/57fd00+dSqb6JUPeQmpB5lkQ0C18e6iiosy59sJa
iFvhNK3aVzn6rx07J9YU1NiJ42ch026Y0t/eUpI5H1jeJOusO+hL66vMhgqQwchG6LCpsdsQ0ljq
4w0hc/obYvMRPTtAJBisUKpdqFW9UUU4qXAtu8O+8gS5dXGTnoq0NL5aEbtNHFSN+1kzs8Sf4Oqf
ZCaaTVVFC4MFmd8xRQpxK1ZLYHm5fp1lSTX4uJz7ftOYLVSlJa9be7NYQnuUuvbZpewJiJZNMYF4
klnmQAA8z/15yrB8SsBCryMT+62AxrTGvDnxXSvdjPFMNc03Q7+EHnNrUNVbq+ZvvIES27mkqeV1
4OkxZRhczGhIWMARa/I54cB4VHAT0isbk2LA/l1eQ1tGQTAzRk/83CH7he01i+vQm7xhQ2JnMt9L
u+vKgG9ifg5nVBsanLp+M6Mwu8fXG3ob+BZwJhGDDcfECeOLBWfKs0gSsGSOmPRjVFrD1uPcK33d
SBncSuTruHVYxzzNLUS9iLkTFDX03ydNlToaPJuJGO75BfFVNsoeg7zglkiXxERcNMVqCVJbqTZw
cjm/4MBpnBv+JvDQTQRBU4DccQoSvbdw/IGBYycUf5UtAA6EndlBJaLfjWQ3B2TOomWpYnnbLGKC
HoOHLDDnDjadA7yGoSOSwqIxbtlsjttyIBAvFESRbdrWdt5GNk4BTJv+Co7PggGNgULMYYtMEFFu
qdVnhq3pfKmXaAPqk5mJ0a15aZSKaFAuBCZ6xkVlfSOyBkzqUiYGOYwW3rGSfhr4xaYvlDiPIZZW
4NIlPTI1Gz2/CNC8JdZtT4JZjClqkPdFXaK3kdrk1WQ6DbKBwsB4e44B4W1aHf6sDyJGKtQKkapg
cIWtd3Zq1mBFI8kXSXOZSchlc6GdBzuJlE8KAtg73J1nYNPxhROW4yeziBl5Z2qELIR4Yz5OeGJt
X1Vm2cJFcfT4MMOZqA68b0l47IjbZFWzRFp30NtC7sooSW6IcoC8EpOMBXOkDQuebJDlCPHqOekC
yuZ+xNWF4v+8EMPYIDcVll/FfJtBjdgY1laptcsm5bUc3TglRli/BdwlL6elALmqbH3fZrIHJGRF
hPMZArx5ypQxyDWZXGnAKQYK1JCISxuRQxsUuTs+m4mCNwf+IzoJXd0tU5cut16vfdEWr+SZYq1H
K8L4z77qKgugedfERbeL+rl6noBui40LSp/8ItcEaxHWLYlYOsX+huqh6w6cRPO9aMhUPpo2+Ak/
yXPTQcWHQOH4TZFtVXX7lUHjo9077tlKkBDeD5k51Icxi43q2CJvCdxaMy4sRfLzworkVpTjqqIS
Xlps04jTzO71kt1ik+6XyXJPKQl8GdNDbZrOkzFWFxKr34K1t832rosROzeiED0131W1iyBOBuYi
rFutnvVhZ/UkXzpeal5UOM63lpsix9WSGn6GiCfjoV5YQulWbvI9ZyJKP7eNTD+leqc9Wm0+vMDz
G9ot/lTBs0aLGWgpAcWFAZHzCMqJ1GerT9WWBU7UXvB/EPCvSUjLNwggapKXHHdBNcZ+0Kb4mIW0
SW5LZ1D0AXwhdhqo+VA2Ozh3N+hAhoPWtBBcwq4YIwy1NroEtt91z6qhDPMHg/zlj3QOT4JbmAkM
HHO+m1I3D447ylvHTowg6sI56My4OUoWf/q2XLAH55qNwK+axumuDJW4IgCvHzZQWQvjckRxebl0
EEn2blNZz003PUfTNHibzkkWIzASQLP+MOgd9kE2KP0lHaVxtTDOuivSKoUlyvsrujWmIWyh04h8
XuZDYclO4qdEARyRnqE4Na6ILvmu4flngvMXE5xVr0V9/5/rqfuKVMt/+Z9asjV/r434/qPf6yrp
frD5oyQWIqRxzlogfS+rXOsDFQ1ki/+Db/9oaewPJnIAtAoWy3BY0v83/bWY+AhmqngC4XPDqRB/
p6qyv9mIfqqqhIdLEJ+g5M90aMZ+HZn2iZmhqEuA+YOJHrdenFmjX5aJt4/pAnZOyTrRxyjt3nrA
4cmlTcrkiu07ctqckMEATBwy5zCxnqD1zjeVY5b3g3LCV+Yo0029WPi05LjYh7q1QJEijbIvEsKn
Apnh4fNh8ztFABI8BX1Ej2edqVDiq8yocLHk6NhO/dLkzbbxkjWGdJ5HUD082FOwAPH+qgqosxvp
zWKXaUpcE3FB4GIcCl+rpoGs0Ab5O2diWWzoKUvGPVZsxkcySwH6YMC/NBHqMgE1Mbv0hWWdRhTZ
R2Jw9XI75c3wovOYeQHxId07n2JgrhUlApKwZ8G6cbFmxfzBOTabmQytKSydFkR2R55Doo32IVn1
eFuL8KKvCV/4wQ7tiXeRjRmXZJDwbcFxjF3fGNVTvWhguhmgqCeBs/mpHPXsDtM7SKk1XGvsw/Kh
VoRhd4qV1QWrrIgg6N7UqcJwvqgNeRlGyHusIbFgYXd6O2X8Xo1TcyFTIwSBQM0A7Uik06ogX+pX
I8JAHubVSAzA0upGEAIcpITLxwoJcaGY7CGqrVF/Z0bj3dgqXnnnTN4Piuu3G6rGO+dOAr0zjsdz
3IMCneIBYSkrsuqeXHr3VhPcLbhxCh86E9J5LAXUa63xgFpdHBPY0CcN3cZx6mV1nZETq90vq2vJ
kanBoQ5AqsmzXgQJbQE57VrR8XdGlEDYTvOZAU/z0vaV+VTrMy9/b8HN5NuRrd4MrXC34Bo7tp4I
gm8nShjEK8K7N9skup2sBVCEN0Hc9u3BejXDSSmISbxEgi7Wxk/uAkctUwaBa7UlIbTMOm/8KS0T
7EtNtxz7fjbnfRL22tkMiZTwR1MWW0uf3DKGRuWxbkfTa0PwGuv+jrmtDbAXqMNNjRQVxWvrOI+l
MYvLGG7aGPlUrgBxWaJXC9hltr/WPppmrPMbZOdjDYSCC9EeZjup3JdmqEAvYIFs/Lh2rJDvRwPG
wHanb8atK113F7XGYvaHsGo1+B/AFfRj3jRz8sQEwcORzj+Q37l9nmUYafdQohVFcUgCfQEZdujU
EzL2qxCYx5k8icT7ktJ/YEM3cW8I7RQVukTAwXzz0bZ0yK7LjIuCd9w2bOdsx8oFtYil50fWy+PH
pDMhjXhxdanSuNmqurtLewOKe16bzob4DwPjP/fQR8cJI5BWmBweysgKYci2zBzgyRU1YwiDdPPU
bAInw0CgdaaK3pBpmPlh1hP0VYxH+mDuJrA9rPWPbPHtYPbKu2ohAR4m9jGF3wt7sppOY5L2W8k4
cCs6SuOmmvbUVNqbvXDSADDzWc3uJxdWGoAB0pSYo14h97nvFhUFZLHt3S61Pxo4MDZpT9sGT6W6
Hl39DgGauRnaha9NeYwxBWDBIYco7dYO1NpS+Sq1ywu9rNV7OssrHTbQC1v+EVxWk9/DVnGv06FS
UO4FAC7W3zcov6xdg4tqMybxvBfseZLGnfe5IA4+xs2/Q3WJRlzjp4yMnPikbas6yNzlpQpBhM+5
vF7q9hJHM+nzgH/9zKrafRPSJaeOpl/Cbx6vHVgdlDvVZ4/Tdk+L4W6TcA53ME9TINK28uHmNIeF
rFY/HwZtFfwQ6p3Pw6aX0WuVmCqIDLrDTM5YvwidJ2qtap/GtBkPehF1j1AvOm6MUdtH7fS1X81c
eEDmbdfikxkMM3y1MpsxOCw+QQq1wHatuaZ+7J1qzIBvoh8t0XvvPA85CDNpZCnkwIiTi8LJJ5NW
3vZ1TLwrkI8gLVSyx+EHVHhwFnk1K6gkmwH8e7p1m6QDG9yEH73G5pG1ixB1RR9fgQ9qPmMhq2jA
meU/1zIvdkY/IMBKTHdXKOyBFYqAl5qB+hMeJZKYB/bs1VguVyQmYKYj2Jq6rFgdQH15CZtVu8Zl
8FFGzZoo70HIiNTiXLVmaKDZmbrMONnYRc9eVrgerhS78fMuYcGXmVYFuZTyENsWDHC7I519wBqP
a4XQM0reiU6KZo6QVFIDJU6nE0DsPGjriCkC+Rgfu1pXBBlAeAmSHqq7brUrwrC6nRaCf62UXYHb
caX7nNtAjDt9Ii5pMmJxMIE7bgYlNLoJmb5bShTvZN8UGO6sAodOF44IwoQzn0rJG9tP58YO1tL4
sYr74S4GuP82MbDc1l7jnpvQfNW8/mvCEv3ZMR30GzPLBiXsxxLTxCXPVIa3Ixs2g8E5t8xN+Iha
bD9Z6SvOjy84Aew9crJus4SEc9D3Ps/wY4Iuh34oZfupKfJsM1j6MUPWtUVzUb9HiCM2WapVhEpa
6WHAs1j55gLYdSEW5yZXTosQfMxuS8O5KqOuPBdL229Xysq8YRG7Mgvjdqy3yiiWqxWqC0dXvaES
fMDgQSlFfQFaz9iM1oDm0EiXgOUWFHZvPVyR+6zFTEN+lmhJLuEtt43LMPlkZtmDZjrkUIyN/sp8
NTlUiSvfW6O9Y3L7NYSR6bZJ40OffilzQwcG3iX7KdPlyZvD5VzrqAel1bwwS8Lr4/WnkTwtzs66
hhPT0MRFA2rHaS6O1lAf7RliX+oYj8k4Z+ecex48N0w/o1UeIs8u9ms93bdDXp+qbroXS6x2xgL+
Kx+ACMbp8tZRf/qd1Vf39PkDltqFax0W1gxbFomT7VQdrDBV7BAlFZtWc7+EkflssBd70RvbumZe
lfuFa9+igOG+sr9gFTIYXvVqW6Oiu0AgVl30jfkui9GnLnhTOB1jkGR57aNhGw8u4JaNErXYJg2D
gIEg3z0Vi7zD7h8hVhjTHa3kdG2WMrxpUeG0fOmITfcJSQLxTK6ULQEfpvj1mHJM8DKN1Liy6vRx
ymrnLpzifg9K0GY/aJbVXR/3lZ9iqZFInjAWgdTnlX7WGgWryVk+dimhWBSbjVFeY3bC0jV6F2Rb
fmUWAriwwKar6dfhqEi2TlZQJEMHMJlpXby2uQc5UU0Po+pvaqO7JrzpkmoNIqqzzDz3LDERTmXU
gFB7UQ0weHBz9Fc2XX64mTB1nMvUdc9O0ZR+zNjHnCX7By0rFpRjZXbxzybrv9lkWWwz/nR1//Be
lu9Kvb//PEv//lPfez7X+ABP4Y+IQ2CFBigXAoThcSBEZ2D/o+ODfghEBfmlyY5pbRT/PUe3xAcE
QuuE3XNtdxUK/Z2OT8hfFvmCtE7iOjFqIIhnpfUrs0BiINfiEdenBjHJqPcDFWA6bNEdjqQLFtRZ
G8OR5njuzBlztiL8A9WdtZecqoemwAcX2iHpMrStxpVqhPPAAZVtHXqmIIocZfuYPrdF5EzPBeyh
FVhkW0QCl8bRrPXc7z2bsj6OxBZF9Ftf1h18ORXtbV4QAZzvxjfA6gNR7vr9POg67R3xBfj+JrWz
qUr9vHQzMjsZqQmCcT6VrSqO/RQtOz0hKVxJGejdgJU1TeBLtUQxlnOSk54LZ2t9rUGAYvlQkQnf
N3tz0JYT+exrsWY6zmdGjHW8mYoaXWPB/OmyaufuEYGMe57SRb/rSZ0NypxdW294lzrMO8z9UfSK
uJO4Et5ih0X2AzkDnLVhqrf7FtvqYUzwybbWfFvVFTE6pYlAnczjDRluhKdL7xSVWWBXU3ajUc6Q
9IOg1ZhHd5szhd30SJfu21WBPDZC93U4ZWcPgf2xVwuUPm2hVQJ4cAIDWBPZ0zA1ZYhGSo9eXTZO
LONt42qr32HsH1CGC9zytjxHcCP28GCLHS47mz9VLbcQJNSlTDReKb354EzF9GWm296qkYCbUGbw
5TLO43F28p3TV1NA0s18J5JUfu45vupyftULRERGzVu3H4Css54NPw6w/3ZpGkKiTHBbXNI7pZeR
zaYjhwQf+9PUFVu3ANObMFLAgNu2hH/SM8wYqbZ4R0ygsl1O+996n922HL9GNHW7ZSVbU6oXOKld
i/3PPCrowGn9SKJD+v/YO5PmxJEsjn8VR92p0IqkQ3fEsBgwBlMuu9w9F4Vs09oltCLp089P2FSB
t64ecaiYGEedyjgRycvMl+/9l1sK07WFAbZA5a9RhUUv9kuUEloRW7o6yN4Zzma8sbk6IzQLzZkr
34UJCvRKFst4EWzFWwcnH/QZZSWZ6kXsf6niBMgGbYorKUyNuZIglTAAB0GFzuXGqaEeR18YdTYw
2xDcFR8FsqLaXpDGnXuRRMGvqVL53FE2+lDikGxvHlI4rQudHLsxVHgSCqXZIRoLITlCU0ojL7Hx
WxLBclVSE656PXVqqHSwnCJKFmlfsuIg0czLRA4qZ46dyl0fHbDrEI8Ps6eLvVnmFoopTbA99ijc
l8Y2Mh4apU7csQ3h76qh3rDKCkkPH+AdkGGA4Mf9Ky9u1U0lt5ASh7wI3ekbxcy8MQRccYxYmYG9
syaFA8PM4MdvqPZfb6oe5tBDty5txOo1P72Vgq3iVyNV8GkMjOhxx9oFtAg969HM8sC4s1Ey72G5
wd+171E6wXDFFP5EwnCbDwUEiZdJrYXanUCdLEkx+a3FLxEyjOYjkLpsqOJlg9iDAf5Y6dGBJ0kh
clVMyRDM32mQisjSlQEFIiE3vHvQ9HVvqkelgCRJHMAPhKgMK6AEH2QP2kxAWWzt0PgW1hvV8gFb
ESlCLdoz0cmFchAl22oVwZ54pNiQ+xOKBpTdtTrhJoy7ueHTyKDtOI5Un7fEpSSlpVQJyEvQ6wup
JgTQYIXtxp2w9/GOuU93YSAZGaVyCJ8eRHnXiOIrTa8ltEbrInHkfA4EQBVGcVwiPq1Vmg3SIOpf
VWW/OlcV6kiCEJTeIFWZY+oGZn0TbHVpnoI0SNGBTBMcmkJjO6FV319EhpLMfNdg3VeqOVJR/QSY
CLl6UoiSM4m0Up/EAPNXkRRcNjat4kGK/tFl5ajO3ETT+zze5goaIIhAteV0nIpGRVRQ2UdipMUy
wWmMvHatItEs2n13nNqx3Dunyw+kPdigsCdlaOfLWxVXz14ULTXyrWu91PrLvE+1TfVMiQRcNua4
7mHWnaRYtlSKPYG83aDr1xTo8IdZUz8kdXLPGZUuKa72z7da258oKbcNJCERvqJUY55XeM3d4ouR
fVGokXM4RMEssLXsKs713nnQq4WLMhLMh0bqqyu4waNM69sztk5zCrJS+MPXRHeUhYb+ZylCYEf9
Q9pMUQ+o5lqjYUYLZ35gJ5U/2mxrj2xe5jKXxOVSQTaS3E6BmiI0HtmzAzjKA+k29sjhV/RKvDHc
y0kWRJvbRovzWd0vi4mYYsALvgx5Ak+k8NVkNKS2AWwejZKbN4KbpM9dmS0eYSx43LhdDLa8/9fK
UFQ4/VQibTD5K5oiAOEbVCcVz7AnuAnrOBD6ZQD1QXHYGhvlD1QcU85C1dhYgDbyhag14pr6SXyu
5nRfIHGJ036WyHcQGTZjdH7s0UbM7HPP5aKRRnmw9IVt8q1gHS641qcrADPGJc5G0ZDrg3fJTQz9
Btkpl36sNkOQH/0pYPp/J7riXtZwsu5MyjNL0xQNBsn6ZAJhgwOXjtVEHMrCMqtomw1dVv5K9bRq
Ykj91NKxISUR93GxaPIvKSL00O5DvT8LuXbRinWauQgX6n6b2clgU4UCOvaxMHME+86kK86Fgls4
GBQNyYlaHlP5RkJeEHt/VJEpjBU8DReq6wpzuZe5QXv6A2hEv2mkcCn24IHlt6Bnch1fCptqoYJm
koGb0iArq74xTFQBcIuh43qFuQhs21AHET5AaFS0GU2AdiDj4lqkZT6KTVe1pIpcvlK4ZQ00wWMn
SFPfQKe2pHamfZVTT7c58kDx2s5N1of093+k2k8BZdgPWmjJ+42d29xyjlL7pz/Yw2R2QDQBLAyM
0qf+y76fI7aYXUx/wNILO5wMUPg9TIauTQvPBZL1I6/XALvBi215ny1jmlvHPwDo7iisB40cUL4g
c4EMt+0kADlyC585gMcAXMd9stbrhRE1PchDOlXj+hx0JAdaiHqXX+GIOCxtezPPVIUSeQ0HvSKD
WdVJBMEavaX2JlutqGjCaXXF6tqpa3WFB09GChUHlWsCLJDRjiqbKdrairm97ml1BQq1AKNrKLeO
WRmoyGFCgWSivS1RuxUCs3dlhAqYjRjhhswg8RFj/S8ZLQ23mG5pj1XlDI4NTdCZqVU978LQ9KT8
uimZ5K+9iDxjvFEcSRnbwF5Z4Ts0u46o9FDgbdn0NsDd7VBizdtYbeTXaaiA+QXvtjTD0JkkmtTI
w23UN2+iUKL3TmN+yoeK8W8uevfAat0bkGwpFoOh45Hj0bqv8ExsuNKfQxUoLEPER4xLBpmv66OS
ilQszYYYDD6mJVVD4eDCo2akIi0CQqmSkH8VymQOfK5F0uI+Ui0RXAJPi8PIFnYi2Pz6a68WC6C3
gu17rZ3ZRpW0iQS+psBUbAfXFQXbFNt9yC8Tv7rGNs1NFxtwJNx+BqEqSWE5+9+68T/3rEdWbo13
N/kvxTqtr9dZEeTZfum0v91RUW7i/+5FHw90drjHPOB6lbdPYLsvkXVAR492mN0j7Z73oxECK3fz
4nH92yfZwPIAIQUsEtpNgm3i01mAtdbzr1GHZkOhKoATECC7Fmd3+F1/NAkff76n2fz4NUefwHqE
/YSIBjJID/nhtilBZXzZQH9nFl6M8WMWFOEzgFtyB4Rmdz/0wQ9nQZc+8xvEf5Qfs8S0HwTKe6Hw
8Sc83SyoqgFY8mdC4d1JAN8MqRwFUBGphPaHqtHhJIiigVW3hm0GMiu7n18tFGQQES9Lav80FGQR
dKqMdAP0/bdmgQWB4gvQVeCr+1D5tUJBpC9A/HaKBRYEPL124T8ve4LrMBZ04zNvg8amTtztfn61
WODraxH/nWZBAlKDWCkQxqdQeLki2BbaG6hCc+fpBWyev1YscBl8hdb+pysCoW+UfiSFqP/+KQ9j
QVM/wzeFAob9zu7nKev9qc3xJ170/cQdOm7wuDtr3XX21pH83gv2e/Dr3z+fMLPH3z7BSv2eFu9e
2OK2nt77x1H8+9Hmudv/D365Pw8O//z5A75+6zcfav+fU3edWumD08qEunn9/JhLK+TE/ldg3Vuh
dXgEslMReT+e5LdPR895sAr+ZuDMfzFuSz3pPC6e7fExco2uAPt094F9K8qsbD9S+zUCcOHY6jry
0Arcv+I0co+m4+mM7Tx2HMSp9XhET0KbnUXTfWQaRg+5+1AcJUj0xjkOug4+WgfW1kqPmlE6fKcT
jPyc1J3Ff53Bgi7C++NpR8f4BFF4zqy7x0zY5yOi68xM1nFqHz+yyH5Iotx15Ckz7rr7cXbhLe8Y
aV0Hnj1azlEAioomnmALmWFsguLb8Yp8Skc6P3L0iD7g0XokA9FbUt/73dbvp/9H+957LnIdh52/
3pv6onSC9TLnAxcPfr3/5Lu4gBR7gkVyGRdu9mqaMQc5QWwsLDc62j3w7jrF8bKw0jqwosfD6aC3
3ToHdo2Mv/VP6RgiC/fBcW3rmCzHNesEZ8HCbcEDL23HubmdYMEs3Cxr/202R3sT3VzhRKPHRfpy
6JM8+Pv6gh2/yeX6PrVeZE+IIbQExq5B+L6CQ+dn3p5NrXCTOe7xsU49xTjB6lmut2cX6zRbH+1U
3EjEEw3+Ps37BDPzZ5z6+y9vdz94ukl1/jYBsr7N5kDWUjzB6bDcvcHI8l+ufYRgT5CSXDnuUeLw
XH3rOi1XfkBGcnyrYWjjBOfO+3zkjlGyAp/VqiFaL64JMOZaUZOuU3LtxI/rs1n26myD4XOCL/Lv
aUUdp+fpDV4HYstaOsF95EN0XMdHv1lXx7fK58Ji16/0vY5fx8f9tk5DTrZ9yLW7lcxRfIKz+JvL
zeZFeAOiO0X83VmcO0CejxsaFBSR4O28du7WWX725sNTqTpB8N252QMa0O5R5oZ5V9ss7RokH+i8
fRgnb1WavrcoXtef9q2Ht/7suLjWvuIhWFvp7/8BAAD//w==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sz="900" b="1"/>
          </a:pPr>
          <a:endParaRPr lang="en-US" sz="9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183173</xdr:colOff>
      <xdr:row>0</xdr:row>
      <xdr:rowOff>57150</xdr:rowOff>
    </xdr:from>
    <xdr:to>
      <xdr:col>23</xdr:col>
      <xdr:colOff>33868</xdr:colOff>
      <xdr:row>8</xdr:row>
      <xdr:rowOff>33867</xdr:rowOff>
    </xdr:to>
    <xdr:sp macro="" textlink="">
      <xdr:nvSpPr>
        <xdr:cNvPr id="2" name="Rectangle: Rounded Corners 1">
          <a:extLst>
            <a:ext uri="{FF2B5EF4-FFF2-40B4-BE49-F238E27FC236}">
              <a16:creationId xmlns:a16="http://schemas.microsoft.com/office/drawing/2014/main" id="{9C4178CA-DCC7-789E-CBC7-560D2154D158}"/>
            </a:ext>
          </a:extLst>
        </xdr:cNvPr>
        <xdr:cNvSpPr/>
      </xdr:nvSpPr>
      <xdr:spPr>
        <a:xfrm>
          <a:off x="183173" y="57150"/>
          <a:ext cx="13893964" cy="1442102"/>
        </a:xfrm>
        <a:prstGeom prst="round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195385</xdr:colOff>
      <xdr:row>8</xdr:row>
      <xdr:rowOff>169334</xdr:rowOff>
    </xdr:from>
    <xdr:to>
      <xdr:col>5</xdr:col>
      <xdr:colOff>601134</xdr:colOff>
      <xdr:row>38</xdr:row>
      <xdr:rowOff>42334</xdr:rowOff>
    </xdr:to>
    <xdr:sp macro="" textlink="">
      <xdr:nvSpPr>
        <xdr:cNvPr id="3" name="Rectangle: Rounded Corners 2">
          <a:extLst>
            <a:ext uri="{FF2B5EF4-FFF2-40B4-BE49-F238E27FC236}">
              <a16:creationId xmlns:a16="http://schemas.microsoft.com/office/drawing/2014/main" id="{8C3228CC-6728-32DF-2C5C-21098EA18553}"/>
            </a:ext>
          </a:extLst>
        </xdr:cNvPr>
        <xdr:cNvSpPr/>
      </xdr:nvSpPr>
      <xdr:spPr>
        <a:xfrm>
          <a:off x="195385" y="1634719"/>
          <a:ext cx="3458634" cy="5368192"/>
        </a:xfrm>
        <a:prstGeom prst="roundRect">
          <a:avLst>
            <a:gd name="adj" fmla="val 683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152400</xdr:colOff>
      <xdr:row>8</xdr:row>
      <xdr:rowOff>177799</xdr:rowOff>
    </xdr:from>
    <xdr:to>
      <xdr:col>23</xdr:col>
      <xdr:colOff>16933</xdr:colOff>
      <xdr:row>23</xdr:row>
      <xdr:rowOff>186266</xdr:rowOff>
    </xdr:to>
    <xdr:sp macro="" textlink="">
      <xdr:nvSpPr>
        <xdr:cNvPr id="4" name="Rectangle: Rounded Corners 3">
          <a:extLst>
            <a:ext uri="{FF2B5EF4-FFF2-40B4-BE49-F238E27FC236}">
              <a16:creationId xmlns:a16="http://schemas.microsoft.com/office/drawing/2014/main" id="{D757477D-720C-54A2-89D7-F1B7E52F3323}"/>
            </a:ext>
          </a:extLst>
        </xdr:cNvPr>
        <xdr:cNvSpPr/>
      </xdr:nvSpPr>
      <xdr:spPr>
        <a:xfrm>
          <a:off x="3810000" y="1667932"/>
          <a:ext cx="10227733" cy="2802467"/>
        </a:xfrm>
        <a:prstGeom prst="roundRect">
          <a:avLst>
            <a:gd name="adj" fmla="val 7926"/>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160867</xdr:colOff>
      <xdr:row>24</xdr:row>
      <xdr:rowOff>169333</xdr:rowOff>
    </xdr:from>
    <xdr:to>
      <xdr:col>13</xdr:col>
      <xdr:colOff>586154</xdr:colOff>
      <xdr:row>38</xdr:row>
      <xdr:rowOff>16934</xdr:rowOff>
    </xdr:to>
    <xdr:sp macro="" textlink="">
      <xdr:nvSpPr>
        <xdr:cNvPr id="5" name="Rectangle: Rounded Corners 4">
          <a:extLst>
            <a:ext uri="{FF2B5EF4-FFF2-40B4-BE49-F238E27FC236}">
              <a16:creationId xmlns:a16="http://schemas.microsoft.com/office/drawing/2014/main" id="{E7509CF6-B0C5-7E02-6C4C-555F602A36C7}"/>
            </a:ext>
          </a:extLst>
        </xdr:cNvPr>
        <xdr:cNvSpPr/>
      </xdr:nvSpPr>
      <xdr:spPr>
        <a:xfrm>
          <a:off x="3824329" y="4565487"/>
          <a:ext cx="4699325" cy="2412024"/>
        </a:xfrm>
        <a:prstGeom prst="roundRect">
          <a:avLst>
            <a:gd name="adj" fmla="val 8046"/>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146538</xdr:colOff>
      <xdr:row>24</xdr:row>
      <xdr:rowOff>160867</xdr:rowOff>
    </xdr:from>
    <xdr:to>
      <xdr:col>22</xdr:col>
      <xdr:colOff>601133</xdr:colOff>
      <xdr:row>37</xdr:row>
      <xdr:rowOff>177799</xdr:rowOff>
    </xdr:to>
    <xdr:sp macro="" textlink="">
      <xdr:nvSpPr>
        <xdr:cNvPr id="6" name="Rectangle: Rounded Corners 5">
          <a:extLst>
            <a:ext uri="{FF2B5EF4-FFF2-40B4-BE49-F238E27FC236}">
              <a16:creationId xmlns:a16="http://schemas.microsoft.com/office/drawing/2014/main" id="{ABC0F705-204E-6D78-CA4B-53712993AF8B}"/>
            </a:ext>
          </a:extLst>
        </xdr:cNvPr>
        <xdr:cNvSpPr/>
      </xdr:nvSpPr>
      <xdr:spPr>
        <a:xfrm>
          <a:off x="8694615" y="4557021"/>
          <a:ext cx="5339210" cy="2398182"/>
        </a:xfrm>
        <a:prstGeom prst="roundRect">
          <a:avLst>
            <a:gd name="adj" fmla="val 868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12</xdr:col>
      <xdr:colOff>445267</xdr:colOff>
      <xdr:row>10</xdr:row>
      <xdr:rowOff>123820</xdr:rowOff>
    </xdr:from>
    <xdr:ext cx="184731" cy="937693"/>
    <xdr:sp macro="" textlink="">
      <xdr:nvSpPr>
        <xdr:cNvPr id="8" name="Rectangle 7">
          <a:extLst>
            <a:ext uri="{FF2B5EF4-FFF2-40B4-BE49-F238E27FC236}">
              <a16:creationId xmlns:a16="http://schemas.microsoft.com/office/drawing/2014/main" id="{25A33A17-52C8-69EC-46B0-0C3666A6A717}"/>
            </a:ext>
          </a:extLst>
        </xdr:cNvPr>
        <xdr:cNvSpPr/>
      </xdr:nvSpPr>
      <xdr:spPr>
        <a:xfrm>
          <a:off x="7760467" y="1986487"/>
          <a:ext cx="184731" cy="937693"/>
        </a:xfrm>
        <a:prstGeom prst="rect">
          <a:avLst/>
        </a:prstGeom>
        <a:noFill/>
      </xdr:spPr>
      <xdr:txBody>
        <a:bodyPr wrap="none" lIns="91440" tIns="45720" rIns="91440" bIns="45720">
          <a:spAutoFit/>
        </a:bodyPr>
        <a:lstStyle/>
        <a:p>
          <a:pPr algn="ctr"/>
          <a:endParaRPr lang="en-US"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oneCellAnchor>
    <xdr:from>
      <xdr:col>0</xdr:col>
      <xdr:colOff>0</xdr:colOff>
      <xdr:row>0</xdr:row>
      <xdr:rowOff>146538</xdr:rowOff>
    </xdr:from>
    <xdr:ext cx="5822049" cy="1860033"/>
    <xdr:sp macro="" textlink="">
      <xdr:nvSpPr>
        <xdr:cNvPr id="9" name="Rectangle 8">
          <a:extLst>
            <a:ext uri="{FF2B5EF4-FFF2-40B4-BE49-F238E27FC236}">
              <a16:creationId xmlns:a16="http://schemas.microsoft.com/office/drawing/2014/main" id="{23062ACD-E226-51D5-EBC4-45D134B84668}"/>
            </a:ext>
          </a:extLst>
        </xdr:cNvPr>
        <xdr:cNvSpPr/>
      </xdr:nvSpPr>
      <xdr:spPr>
        <a:xfrm>
          <a:off x="0" y="146538"/>
          <a:ext cx="5822049" cy="1860033"/>
        </a:xfrm>
        <a:prstGeom prst="rect">
          <a:avLst/>
        </a:prstGeom>
        <a:noFill/>
      </xdr:spPr>
      <xdr:txBody>
        <a:bodyPr wrap="square" lIns="91440" tIns="45720" rIns="91440" bIns="45720" anchor="t">
          <a:noAutofit/>
        </a:bodyPr>
        <a:lstStyle/>
        <a:p>
          <a:pPr algn="l"/>
          <a:r>
            <a:rPr lang="en-US" sz="4800" b="1" cap="none" spc="50">
              <a:ln w="0"/>
              <a:solidFill>
                <a:schemeClr val="bg2"/>
              </a:solidFill>
              <a:effectLst>
                <a:innerShdw blurRad="63500" dist="50800" dir="13500000">
                  <a:srgbClr val="000000">
                    <a:alpha val="50000"/>
                  </a:srgbClr>
                </a:innerShdw>
              </a:effectLst>
            </a:rPr>
            <a:t>  SALES</a:t>
          </a:r>
          <a:r>
            <a:rPr lang="en-US" sz="48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a:t>
          </a:r>
          <a:r>
            <a:rPr lang="en-US" sz="4800" b="1" cap="none" spc="50" baseline="0">
              <a:ln w="0"/>
              <a:solidFill>
                <a:schemeClr val="bg2"/>
              </a:solidFill>
              <a:effectLst>
                <a:glow rad="63500">
                  <a:schemeClr val="accent1">
                    <a:satMod val="175000"/>
                    <a:alpha val="40000"/>
                  </a:schemeClr>
                </a:glow>
                <a:innerShdw blurRad="63500" dist="50800" dir="13500000">
                  <a:srgbClr val="000000">
                    <a:alpha val="50000"/>
                  </a:srgbClr>
                </a:innerShdw>
              </a:effectLst>
            </a:rPr>
            <a:t>DASHBOARD</a:t>
          </a:r>
        </a:p>
        <a:p>
          <a:pPr algn="l"/>
          <a:r>
            <a:rPr lang="en-US" sz="2800" b="1" cap="none" spc="50" baseline="0">
              <a:ln w="0"/>
              <a:solidFill>
                <a:schemeClr val="bg2"/>
              </a:solidFill>
              <a:effectLst>
                <a:glow rad="63500">
                  <a:schemeClr val="accent1">
                    <a:satMod val="175000"/>
                    <a:alpha val="40000"/>
                  </a:schemeClr>
                </a:glow>
                <a:innerShdw blurRad="63500" dist="50800" dir="13500000">
                  <a:srgbClr val="000000">
                    <a:alpha val="50000"/>
                  </a:srgbClr>
                </a:innerShdw>
              </a:effectLst>
            </a:rPr>
            <a:t>   BY KAML MIRZA</a:t>
          </a:r>
          <a:endParaRPr lang="en-US" sz="4000" b="1" cap="none" spc="50" baseline="0">
            <a:ln w="0"/>
            <a:solidFill>
              <a:schemeClr val="bg2"/>
            </a:solidFill>
            <a:effectLst>
              <a:glow rad="63500">
                <a:schemeClr val="accent1">
                  <a:satMod val="175000"/>
                  <a:alpha val="40000"/>
                </a:schemeClr>
              </a:glow>
              <a:innerShdw blurRad="63500" dist="50800" dir="13500000">
                <a:srgbClr val="000000">
                  <a:alpha val="50000"/>
                </a:srgbClr>
              </a:innerShdw>
            </a:effectLst>
          </a:endParaRPr>
        </a:p>
      </xdr:txBody>
    </xdr:sp>
    <xdr:clientData/>
  </xdr:oneCellAnchor>
  <xdr:twoCellAnchor>
    <xdr:from>
      <xdr:col>0</xdr:col>
      <xdr:colOff>317501</xdr:colOff>
      <xdr:row>10</xdr:row>
      <xdr:rowOff>158750</xdr:rowOff>
    </xdr:from>
    <xdr:to>
      <xdr:col>5</xdr:col>
      <xdr:colOff>296334</xdr:colOff>
      <xdr:row>37</xdr:row>
      <xdr:rowOff>158750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5023DB68-AFF0-41D2-A935-8D16761504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7501" y="2000250"/>
              <a:ext cx="3026833" cy="4972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279401</xdr:colOff>
      <xdr:row>11</xdr:row>
      <xdr:rowOff>85482</xdr:rowOff>
    </xdr:from>
    <xdr:to>
      <xdr:col>12</xdr:col>
      <xdr:colOff>152401</xdr:colOff>
      <xdr:row>23</xdr:row>
      <xdr:rowOff>67735</xdr:rowOff>
    </xdr:to>
    <xdr:graphicFrame macro="">
      <xdr:nvGraphicFramePr>
        <xdr:cNvPr id="11" name="Chart 10">
          <a:extLst>
            <a:ext uri="{FF2B5EF4-FFF2-40B4-BE49-F238E27FC236}">
              <a16:creationId xmlns:a16="http://schemas.microsoft.com/office/drawing/2014/main" id="{3F120B9C-DE78-436E-9303-8032CFCE3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254000</xdr:colOff>
      <xdr:row>10</xdr:row>
      <xdr:rowOff>48846</xdr:rowOff>
    </xdr:from>
    <xdr:to>
      <xdr:col>17</xdr:col>
      <xdr:colOff>524933</xdr:colOff>
      <xdr:row>23</xdr:row>
      <xdr:rowOff>143933</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A59EAE89-BD4E-4BF8-924B-341BEEA108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569200" y="1890346"/>
              <a:ext cx="3318933" cy="24890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296333</xdr:colOff>
      <xdr:row>26</xdr:row>
      <xdr:rowOff>122115</xdr:rowOff>
    </xdr:from>
    <xdr:to>
      <xdr:col>13</xdr:col>
      <xdr:colOff>474133</xdr:colOff>
      <xdr:row>37</xdr:row>
      <xdr:rowOff>93133</xdr:rowOff>
    </xdr:to>
    <xdr:graphicFrame macro="">
      <xdr:nvGraphicFramePr>
        <xdr:cNvPr id="14" name="Chart 13">
          <a:extLst>
            <a:ext uri="{FF2B5EF4-FFF2-40B4-BE49-F238E27FC236}">
              <a16:creationId xmlns:a16="http://schemas.microsoft.com/office/drawing/2014/main" id="{09B2D891-5B24-443C-B132-CDFC4220E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305288</xdr:colOff>
      <xdr:row>26</xdr:row>
      <xdr:rowOff>170962</xdr:rowOff>
    </xdr:from>
    <xdr:to>
      <xdr:col>22</xdr:col>
      <xdr:colOff>476250</xdr:colOff>
      <xdr:row>37</xdr:row>
      <xdr:rowOff>59266</xdr:rowOff>
    </xdr:to>
    <xdr:graphicFrame macro="">
      <xdr:nvGraphicFramePr>
        <xdr:cNvPr id="15" name="Chart 14">
          <a:extLst>
            <a:ext uri="{FF2B5EF4-FFF2-40B4-BE49-F238E27FC236}">
              <a16:creationId xmlns:a16="http://schemas.microsoft.com/office/drawing/2014/main" id="{C11A4F4A-7215-4DB8-898E-2DD73A33C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499533</xdr:colOff>
      <xdr:row>11</xdr:row>
      <xdr:rowOff>109905</xdr:rowOff>
    </xdr:from>
    <xdr:to>
      <xdr:col>22</xdr:col>
      <xdr:colOff>465667</xdr:colOff>
      <xdr:row>23</xdr:row>
      <xdr:rowOff>69850</xdr:rowOff>
    </xdr:to>
    <xdr:graphicFrame macro="">
      <xdr:nvGraphicFramePr>
        <xdr:cNvPr id="16" name="Chart 15">
          <a:extLst>
            <a:ext uri="{FF2B5EF4-FFF2-40B4-BE49-F238E27FC236}">
              <a16:creationId xmlns:a16="http://schemas.microsoft.com/office/drawing/2014/main" id="{FA0E14A5-56F8-4C46-A8C9-6C43CC4EF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42333</xdr:colOff>
      <xdr:row>1</xdr:row>
      <xdr:rowOff>135464</xdr:rowOff>
    </xdr:from>
    <xdr:to>
      <xdr:col>22</xdr:col>
      <xdr:colOff>286173</xdr:colOff>
      <xdr:row>7</xdr:row>
      <xdr:rowOff>23704</xdr:rowOff>
    </xdr:to>
    <mc:AlternateContent xmlns:mc="http://schemas.openxmlformats.org/markup-compatibility/2006" xmlns:a14="http://schemas.microsoft.com/office/drawing/2010/main">
      <mc:Choice Requires="a14">
        <xdr:graphicFrame macro="">
          <xdr:nvGraphicFramePr>
            <xdr:cNvPr id="17" name="Year ">
              <a:extLst>
                <a:ext uri="{FF2B5EF4-FFF2-40B4-BE49-F238E27FC236}">
                  <a16:creationId xmlns:a16="http://schemas.microsoft.com/office/drawing/2014/main" id="{D90E29ED-1226-4A3A-8F93-3008E68E5B8F}"/>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10422141" y="318637"/>
              <a:ext cx="3296724" cy="987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304800</xdr:colOff>
      <xdr:row>9</xdr:row>
      <xdr:rowOff>67734</xdr:rowOff>
    </xdr:from>
    <xdr:to>
      <xdr:col>5</xdr:col>
      <xdr:colOff>245533</xdr:colOff>
      <xdr:row>11</xdr:row>
      <xdr:rowOff>73269</xdr:rowOff>
    </xdr:to>
    <xdr:sp macro="" textlink="">
      <xdr:nvSpPr>
        <xdr:cNvPr id="7" name="TextBox 6">
          <a:extLst>
            <a:ext uri="{FF2B5EF4-FFF2-40B4-BE49-F238E27FC236}">
              <a16:creationId xmlns:a16="http://schemas.microsoft.com/office/drawing/2014/main" id="{432706C0-478F-DD72-0720-DCFFF1E53EED}"/>
            </a:ext>
          </a:extLst>
        </xdr:cNvPr>
        <xdr:cNvSpPr txBox="1"/>
      </xdr:nvSpPr>
      <xdr:spPr>
        <a:xfrm>
          <a:off x="304800" y="1716292"/>
          <a:ext cx="2993618" cy="3718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Sales</a:t>
          </a:r>
          <a:r>
            <a:rPr lang="en-US" sz="1800" b="1" baseline="0">
              <a:solidFill>
                <a:schemeClr val="tx1"/>
              </a:solidFill>
            </a:rPr>
            <a:t> By Category</a:t>
          </a:r>
          <a:endParaRPr lang="en-US" sz="1800" b="1">
            <a:solidFill>
              <a:schemeClr val="tx1"/>
            </a:solidFill>
          </a:endParaRPr>
        </a:p>
      </xdr:txBody>
    </xdr:sp>
    <xdr:clientData/>
  </xdr:twoCellAnchor>
  <xdr:twoCellAnchor editAs="oneCell">
    <xdr:from>
      <xdr:col>10</xdr:col>
      <xdr:colOff>378558</xdr:colOff>
      <xdr:row>1</xdr:row>
      <xdr:rowOff>143930</xdr:rowOff>
    </xdr:from>
    <xdr:to>
      <xdr:col>16</xdr:col>
      <xdr:colOff>485140</xdr:colOff>
      <xdr:row>7</xdr:row>
      <xdr:rowOff>32170</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5A69DB86-BF45-49A3-A372-8F2AA9EA64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84327" y="327103"/>
              <a:ext cx="3770044" cy="987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390770</xdr:colOff>
      <xdr:row>9</xdr:row>
      <xdr:rowOff>146539</xdr:rowOff>
    </xdr:from>
    <xdr:to>
      <xdr:col>12</xdr:col>
      <xdr:colOff>109905</xdr:colOff>
      <xdr:row>11</xdr:row>
      <xdr:rowOff>109905</xdr:rowOff>
    </xdr:to>
    <xdr:sp macro="" textlink="">
      <xdr:nvSpPr>
        <xdr:cNvPr id="18" name="TextBox 17">
          <a:extLst>
            <a:ext uri="{FF2B5EF4-FFF2-40B4-BE49-F238E27FC236}">
              <a16:creationId xmlns:a16="http://schemas.microsoft.com/office/drawing/2014/main" id="{BC5ED981-83FE-B771-D1B5-385A9B815850}"/>
            </a:ext>
          </a:extLst>
        </xdr:cNvPr>
        <xdr:cNvSpPr txBox="1"/>
      </xdr:nvSpPr>
      <xdr:spPr>
        <a:xfrm>
          <a:off x="4054232" y="1795097"/>
          <a:ext cx="3382596" cy="32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Profit Gained Over Time</a:t>
          </a:r>
        </a:p>
      </xdr:txBody>
    </xdr:sp>
    <xdr:clientData/>
  </xdr:twoCellAnchor>
  <xdr:twoCellAnchor>
    <xdr:from>
      <xdr:col>17</xdr:col>
      <xdr:colOff>488460</xdr:colOff>
      <xdr:row>9</xdr:row>
      <xdr:rowOff>146539</xdr:rowOff>
    </xdr:from>
    <xdr:to>
      <xdr:col>22</xdr:col>
      <xdr:colOff>549519</xdr:colOff>
      <xdr:row>12</xdr:row>
      <xdr:rowOff>36636</xdr:rowOff>
    </xdr:to>
    <xdr:sp macro="" textlink="">
      <xdr:nvSpPr>
        <xdr:cNvPr id="19" name="TextBox 18">
          <a:extLst>
            <a:ext uri="{FF2B5EF4-FFF2-40B4-BE49-F238E27FC236}">
              <a16:creationId xmlns:a16="http://schemas.microsoft.com/office/drawing/2014/main" id="{4AC72816-BFE5-C497-C569-29A904EDE71E}"/>
            </a:ext>
          </a:extLst>
        </xdr:cNvPr>
        <xdr:cNvSpPr txBox="1"/>
      </xdr:nvSpPr>
      <xdr:spPr>
        <a:xfrm>
          <a:off x="10868268" y="1795097"/>
          <a:ext cx="3113943" cy="439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Customer Count</a:t>
          </a:r>
        </a:p>
      </xdr:txBody>
    </xdr:sp>
    <xdr:clientData/>
  </xdr:twoCellAnchor>
  <xdr:twoCellAnchor>
    <xdr:from>
      <xdr:col>13</xdr:col>
      <xdr:colOff>48846</xdr:colOff>
      <xdr:row>9</xdr:row>
      <xdr:rowOff>158750</xdr:rowOff>
    </xdr:from>
    <xdr:to>
      <xdr:col>17</xdr:col>
      <xdr:colOff>48846</xdr:colOff>
      <xdr:row>11</xdr:row>
      <xdr:rowOff>170961</xdr:rowOff>
    </xdr:to>
    <xdr:sp macro="" textlink="">
      <xdr:nvSpPr>
        <xdr:cNvPr id="22" name="TextBox 21">
          <a:extLst>
            <a:ext uri="{FF2B5EF4-FFF2-40B4-BE49-F238E27FC236}">
              <a16:creationId xmlns:a16="http://schemas.microsoft.com/office/drawing/2014/main" id="{3D38A3C3-36F7-6801-2B34-B8DFB94A691B}"/>
            </a:ext>
          </a:extLst>
        </xdr:cNvPr>
        <xdr:cNvSpPr txBox="1"/>
      </xdr:nvSpPr>
      <xdr:spPr>
        <a:xfrm>
          <a:off x="7986346" y="1807308"/>
          <a:ext cx="2442308" cy="378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mn-lt"/>
              <a:ea typeface="+mn-ea"/>
              <a:cs typeface="+mn-cs"/>
            </a:rPr>
            <a:t>Sales</a:t>
          </a:r>
          <a:r>
            <a:rPr lang="en-US" sz="1800" b="1" baseline="0">
              <a:solidFill>
                <a:schemeClr val="dk1"/>
              </a:solidFill>
              <a:effectLst/>
              <a:latin typeface="+mn-lt"/>
              <a:ea typeface="+mn-ea"/>
              <a:cs typeface="+mn-cs"/>
            </a:rPr>
            <a:t> By State</a:t>
          </a:r>
          <a:endParaRPr lang="en-US" sz="3200" b="1">
            <a:effectLst/>
          </a:endParaRPr>
        </a:p>
        <a:p>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305288</xdr:colOff>
      <xdr:row>25</xdr:row>
      <xdr:rowOff>36635</xdr:rowOff>
    </xdr:from>
    <xdr:to>
      <xdr:col>13</xdr:col>
      <xdr:colOff>549520</xdr:colOff>
      <xdr:row>28</xdr:row>
      <xdr:rowOff>97693</xdr:rowOff>
    </xdr:to>
    <xdr:sp macro="" textlink="">
      <xdr:nvSpPr>
        <xdr:cNvPr id="23" name="TextBox 22">
          <a:extLst>
            <a:ext uri="{FF2B5EF4-FFF2-40B4-BE49-F238E27FC236}">
              <a16:creationId xmlns:a16="http://schemas.microsoft.com/office/drawing/2014/main" id="{F619FDF4-4C1E-47CB-38A7-9C642A94AF50}"/>
            </a:ext>
          </a:extLst>
        </xdr:cNvPr>
        <xdr:cNvSpPr txBox="1"/>
      </xdr:nvSpPr>
      <xdr:spPr>
        <a:xfrm>
          <a:off x="3968750" y="4615962"/>
          <a:ext cx="4518270" cy="61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Top 5 Customer Making Profit</a:t>
          </a:r>
        </a:p>
      </xdr:txBody>
    </xdr:sp>
    <xdr:clientData/>
  </xdr:twoCellAnchor>
  <xdr:twoCellAnchor>
    <xdr:from>
      <xdr:col>15</xdr:col>
      <xdr:colOff>170962</xdr:colOff>
      <xdr:row>25</xdr:row>
      <xdr:rowOff>36635</xdr:rowOff>
    </xdr:from>
    <xdr:to>
      <xdr:col>20</xdr:col>
      <xdr:colOff>500674</xdr:colOff>
      <xdr:row>28</xdr:row>
      <xdr:rowOff>97693</xdr:rowOff>
    </xdr:to>
    <xdr:sp macro="" textlink="">
      <xdr:nvSpPr>
        <xdr:cNvPr id="25" name="TextBox 24">
          <a:extLst>
            <a:ext uri="{FF2B5EF4-FFF2-40B4-BE49-F238E27FC236}">
              <a16:creationId xmlns:a16="http://schemas.microsoft.com/office/drawing/2014/main" id="{6495B88A-970C-FBD6-11BE-06205361DDF2}"/>
            </a:ext>
          </a:extLst>
        </xdr:cNvPr>
        <xdr:cNvSpPr txBox="1"/>
      </xdr:nvSpPr>
      <xdr:spPr>
        <a:xfrm>
          <a:off x="9329616" y="4615962"/>
          <a:ext cx="3382596" cy="61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Monthly</a:t>
          </a:r>
          <a:r>
            <a:rPr lang="en-US" sz="1800" b="1" baseline="0"/>
            <a:t> Sales</a:t>
          </a:r>
          <a:endParaRPr lang="en-US"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NC" refreshedDate="46072.895393402781" createdVersion="8" refreshedVersion="8" minRefreshableVersion="3" recordCount="1194" xr:uid="{0480D007-404C-4106-BF0C-E0FB66CFEBA7}">
  <cacheSource type="worksheet">
    <worksheetSource name="Sales_Dataset"/>
  </cacheSource>
  <cacheFields count="10">
    <cacheField name="Order Date" numFmtId="14">
      <sharedItems containsSemiMixedTypes="0" containsNonDate="0" containsDate="1" containsString="0" minDate="2020-03-22T00:00:00" maxDate="2025-03-16T00:00:00"/>
    </cacheField>
    <cacheField name="Year " numFmtId="1">
      <sharedItems containsSemiMixedTypes="0" containsString="0" containsNumber="1" containsInteger="1" minValue="2020" maxValue="2025" count="6">
        <n v="2020"/>
        <n v="2021"/>
        <n v="2022"/>
        <n v="2023"/>
        <n v="2024"/>
        <n v="2025"/>
      </sharedItems>
    </cacheField>
    <cacheField name="Month" numFmtId="1">
      <sharedItems containsSemiMixedTypes="0" containsString="0" containsNumber="1" containsInteger="1" minValue="1" maxValue="12" count="12">
        <n v="3"/>
        <n v="4"/>
        <n v="5"/>
        <n v="6"/>
        <n v="7"/>
        <n v="8"/>
        <n v="9"/>
        <n v="10"/>
        <n v="11"/>
        <n v="12"/>
        <n v="1"/>
        <n v="2"/>
      </sharedItems>
    </cacheField>
    <cacheField name="CustomerName" numFmtId="0">
      <sharedItems count="802">
        <s v="Isabella Roach"/>
        <s v="Jessica Anderson"/>
        <s v="Jasmine Delgado"/>
        <s v="Timothy Jensen"/>
        <s v="Richard Blair"/>
        <s v="Sara Bailey"/>
        <s v="Amber Moon"/>
        <s v="Donald Perry"/>
        <s v="Shelly Sweeney"/>
        <s v="Felicia Morton"/>
        <s v="Linda Little"/>
        <s v="Lauren Boyer"/>
        <s v="Joseph Clark"/>
        <s v="Joseph Guerrero"/>
        <s v="Erin Vasquez"/>
        <s v="Kaitlin Brown"/>
        <s v="Donald York"/>
        <s v="Richard Lee"/>
        <s v="Duane Kelly"/>
        <s v="Andrew Fernandez"/>
        <s v="Robert Martinez"/>
        <s v="Mary Taylor"/>
        <s v="Laura Jordan"/>
        <s v="Amber Kennedy"/>
        <s v="Aaron Kim"/>
        <s v="William Rosario"/>
        <s v="Robert Michael"/>
        <s v="Ryan Bullock"/>
        <s v="Becky Leach"/>
        <s v="James Williams"/>
        <s v="Matthew Huff"/>
        <s v="Lauren Jones"/>
        <s v="Tammy Day"/>
        <s v="Caitlin Hunt"/>
        <s v="Paul Zimmerman"/>
        <s v="Jordan Hahn"/>
        <s v="Jennifer Marshall"/>
        <s v="James Bonilla"/>
        <s v="Sharon Russell"/>
        <s v="Jacob Carpenter"/>
        <s v="Daniel Brooks"/>
        <s v="Steven Frey"/>
        <s v="Sylvia Jenkins"/>
        <s v="Kimberly Fuller"/>
        <s v="Amy Thompson"/>
        <s v="Alan Livingston"/>
        <s v="Kristin Alvarez"/>
        <s v="Nathan Moss"/>
        <s v="Natalie Cox"/>
        <s v="Angela Jackson"/>
        <s v="Kelly Roberts"/>
        <s v="Stephanie Oconnell"/>
        <s v="Samantha Williams"/>
        <s v="Mr. Gregg Sawyer"/>
        <s v="Maria Galvan"/>
        <s v="Theresa Cline"/>
        <s v="Heather Johnson"/>
        <s v="Steven Cox"/>
        <s v="Mark Padilla"/>
        <s v="Scott Lewis"/>
        <s v="Sharon Wilkins"/>
        <s v="Laura Cole"/>
        <s v="Carol Norman"/>
        <s v="Mike Armstrong"/>
        <s v="Manuel Stark"/>
        <s v="Angela Norman"/>
        <s v="Jorge George"/>
        <s v="Amanda Kim"/>
        <s v="Paul Scott"/>
        <s v="Jill Jones"/>
        <s v="Jill Perez"/>
        <s v="Mary Wright"/>
        <s v="Jennifer Cooke"/>
        <s v="Stephanie Gardner"/>
        <s v="Ricky Smith"/>
        <s v="Travis Chandler DDS"/>
        <s v="Jillian Williams"/>
        <s v="Jasmin Jones"/>
        <s v="Cameron Miller"/>
        <s v="Colin Patterson"/>
        <s v="Jonathan Mcmillan"/>
        <s v="Debra Townsend"/>
        <s v="Jack Woods"/>
        <s v="Ms. Emily Baxter"/>
        <s v="Jeffrey Middleton"/>
        <s v="Kristen Harper"/>
        <s v="Pamela Patterson"/>
        <s v="Kathryn Rogers"/>
        <s v="Jacob Decker"/>
        <s v="Melissa Mcknight"/>
        <s v="Robin Myers"/>
        <s v="Diana Scott"/>
        <s v="Megan Williams"/>
        <s v="Sara Peterson"/>
        <s v="Robert White"/>
        <s v="Larry Moore"/>
        <s v="Leah Calderon"/>
        <s v="Francisco Hicks"/>
        <s v="Heather Jenkins"/>
        <s v="Randall Dennis"/>
        <s v="Jessica Jones"/>
        <s v="Christian Jones"/>
        <s v="Tony Chavez"/>
        <s v="Elizabeth Miller"/>
        <s v="Paul Raymond"/>
        <s v="Morgan Sullivan"/>
        <s v="Clarence Cooke"/>
        <s v="Lisa Jacobs"/>
        <s v="Philip Baker"/>
        <s v="Robert Sexton"/>
        <s v="Matthew Schroeder"/>
        <s v="Dawn Webb"/>
        <s v="Darrell Ramos"/>
        <s v="Ashley Wright"/>
        <s v="Mary Smith"/>
        <s v="Joshua Rojas"/>
        <s v="Jennifer Clark"/>
        <s v="Andre Fernandez"/>
        <s v="Patrick Hensley MD"/>
        <s v="Alicia Vincent"/>
        <s v="Morgan Sellers"/>
        <s v="Peggy Campos"/>
        <s v="Marie James"/>
        <s v="Jacob Meyer"/>
        <s v="Stephen Baker"/>
        <s v="Collin Cameron"/>
        <s v="Sara Castro"/>
        <s v="Steven Keith"/>
        <s v="Michelle Bailey"/>
        <s v="Sara Garcia"/>
        <s v="Darren Moore"/>
        <s v="Justin Rosales"/>
        <s v="James Hart"/>
        <s v="Mrs. Jennifer Lewis"/>
        <s v="Matthew James"/>
        <s v="David Johnson"/>
        <s v="Susan Baker"/>
        <s v="Laura Andrews"/>
        <s v="Tanner Vance"/>
        <s v="Dawn Howard"/>
        <s v="Jessica Blankenship"/>
        <s v="Jeremy Vazquez"/>
        <s v="Charles Henderson"/>
        <s v="Brian Patrick"/>
        <s v="Mrs. Stephanie Hooper"/>
        <s v="James Hickman"/>
        <s v="Maria Thomas"/>
        <s v="Eric Clark"/>
        <s v="James Gutierrez"/>
        <s v="Megan Pitts"/>
        <s v="Luke Saunders"/>
        <s v="Crystal Ross"/>
        <s v="James Perez"/>
        <s v="Manuel Walls"/>
        <s v="Jacqueline Harris"/>
        <s v="Christopher Rogers"/>
        <s v="Joseph Bates"/>
        <s v="Ann Mooney"/>
        <s v="Peter Ward"/>
        <s v="Alexis Duffy"/>
        <s v="Angela Lyons"/>
        <s v="Kimberly Warren"/>
        <s v="Jessica Kidd"/>
        <s v="Albert Alexander Jr."/>
        <s v="Kaitlin Garrison"/>
        <s v="Wanda West"/>
        <s v="Victoria Bryant MD"/>
        <s v="Jodi Wood"/>
        <s v="Brandon Le"/>
        <s v="Alicia Oneill"/>
        <s v="John Stevens"/>
        <s v="Angela Roberts"/>
        <s v="Megan Morgan"/>
        <s v="Nancy Keller"/>
        <s v="Christopher Johnson"/>
        <s v="Marie Jefferson"/>
        <s v="Keith Reese"/>
        <s v="Edward Johnson"/>
        <s v="Mr. Jack Mercado"/>
        <s v="Tyrone White"/>
        <s v="Ronald Good"/>
        <s v="Kyle Hernandez"/>
        <s v="Paul Taylor"/>
        <s v="Eric Stevens"/>
        <s v="Jesus Hernandez"/>
        <s v="Christine Mosley"/>
        <s v="Michael Rivera"/>
        <s v="Brandi Garcia"/>
        <s v="Larry Hill"/>
        <s v="Michael Williams"/>
        <s v="Carlos Wheeler"/>
        <s v="John Munoz"/>
        <s v="Kelly Pacheco"/>
        <s v="Jamie Santos"/>
        <s v="Robert Stone"/>
        <s v="Jillian Johnson MD"/>
        <s v="Brent Thomas"/>
        <s v="Laura Poole"/>
        <s v="Brianna Hunt"/>
        <s v="Christina Scott"/>
        <s v="Theresa Medina"/>
        <s v="Sheila Clay"/>
        <s v="Michael Hanson"/>
        <s v="Charlene Brown"/>
        <s v="Debra Richards"/>
        <s v="Amanda Ramirez"/>
        <s v="Denise Mcdaniel"/>
        <s v="James Mendoza"/>
        <s v="Angelica Lewis"/>
        <s v="Tom Lawson"/>
        <s v="Susan Wright"/>
        <s v="Carrie Alvarez"/>
        <s v="Stacey Miller"/>
        <s v="Amy Olsen"/>
        <s v="Steven Proctor"/>
        <s v="Jonathan Alvarez"/>
        <s v="Shannon Patterson"/>
        <s v="David Clark"/>
        <s v="Ms. Kim Jordan"/>
        <s v="Lauren Howell"/>
        <s v="Amber Flowers"/>
        <s v="Carolyn Gonzalez"/>
        <s v="Jerry Alvarado"/>
        <s v="Clayton Smith"/>
        <s v="Patrick Williams"/>
        <s v="Elizabeth King"/>
        <s v="Leslie Bean"/>
        <s v="Ricardo Dixon"/>
        <s v="Leroy Harris"/>
        <s v="Anthony Williams"/>
        <s v="Megan Davis"/>
        <s v="William Russell"/>
        <s v="Jacob Torres"/>
        <s v="Johnny Hill"/>
        <s v="Anthony Barnett"/>
        <s v="Heather Bell"/>
        <s v="Rhonda Harris"/>
        <s v="Deborah Hoffman"/>
        <s v="Marc Strickland"/>
        <s v="Kayla Banks"/>
        <s v="Richard Maynard"/>
        <s v="Sydney Walls"/>
        <s v="Nicholas Anderson"/>
        <s v="Mr. Daniel Wilson"/>
        <s v="Marcus Santiago"/>
        <s v="Deborah Williams"/>
        <s v="Darren Perez"/>
        <s v="Lisa Mcintyre"/>
        <s v="Michael Hunt"/>
        <s v="Kendra Mckinney"/>
        <s v="Lynn Reynolds"/>
        <s v="Emma Bruce"/>
        <s v="Ms. Barbara Cervantes"/>
        <s v="William Welch"/>
        <s v="Natalie Maxwell"/>
        <s v="Lisa Farmer"/>
        <s v="Brian Green"/>
        <s v="Dennis Rivera"/>
        <s v="Tina Blake"/>
        <s v="Alexander Reed"/>
        <s v="William Valdez"/>
        <s v="Cynthia Meyer"/>
        <s v="Richard Gardner"/>
        <s v="John James"/>
        <s v="Tamara Guzman"/>
        <s v="Megan Mack"/>
        <s v="Michelle Guerra"/>
        <s v="Brandon Anderson"/>
        <s v="Ashley Freeman"/>
        <s v="Justin Rodriguez"/>
        <s v="Michelle Sullivan"/>
        <s v="Sandra Perkins"/>
        <s v="Ronald Mckinney"/>
        <s v="Teresa Perez"/>
        <s v="Abigail Brown"/>
        <s v="Sherry Tran"/>
        <s v="Richard Wolfe"/>
        <s v="Heidi Davis"/>
        <s v="Jeremy Jackson"/>
        <s v="Jon Banks"/>
        <s v="Melissa Morales"/>
        <s v="Dr. Thomas Peterson"/>
        <s v="Pamela Jones"/>
        <s v="Clayton Lara"/>
        <s v="Jordan Krause"/>
        <s v="Raymond Burgess"/>
        <s v="Eric Adams"/>
        <s v="Aaron Dunn"/>
        <s v="Juan Erickson"/>
        <s v="Bruce Dennis"/>
        <s v="Zachary Perez"/>
        <s v="Susan Valdez"/>
        <s v="Olivia Orozco"/>
        <s v="Kimberly Johnson"/>
        <s v="John Williams"/>
        <s v="Alexander Adams"/>
        <s v="Samuel Little MD"/>
        <s v="Alejandro Williams"/>
        <s v="James Carter"/>
        <s v="Dr. Sarah Booth"/>
        <s v="Amy Wilson"/>
        <s v="Matthew Harris"/>
        <s v="David Smith"/>
        <s v="Jeffrey Wilcox"/>
        <s v="Andrew Benson"/>
        <s v="Kelly Smith"/>
        <s v="Nicolas Owen"/>
        <s v="Seth Rodriguez"/>
        <s v="Jim Johnson"/>
        <s v="Harold Mitchell"/>
        <s v="David Figueroa"/>
        <s v="Jonathan Reed"/>
        <s v="Meghan Rush"/>
        <s v="Tony Ray"/>
        <s v="Melissa Peck"/>
        <s v="Tammy Anthony"/>
        <s v="Russell Austin"/>
        <s v="Douglas Mcfarland"/>
        <s v="Zachary Carpenter"/>
        <s v="Dean Avila"/>
        <s v="Mr. John Tyler PhD"/>
        <s v="Susan Burke"/>
        <s v="Kenneth Adams"/>
        <s v="William Villarreal"/>
        <s v="Jason Martinez"/>
        <s v="Cynthia Rodriguez"/>
        <s v="Steven Haynes"/>
        <s v="Maria Carroll"/>
        <s v="James Tanner"/>
        <s v="James Murray"/>
        <s v="Wesley Deleon"/>
        <s v="Timothy Baker"/>
        <s v="Sarah Wagner"/>
        <s v="Mark Boyle"/>
        <s v="Betty Tucker"/>
        <s v="Roger Morrison"/>
        <s v="Lisa Lowe"/>
        <s v="Chad Brown"/>
        <s v="Andrew Kirby"/>
        <s v="Jasmine Gibbs"/>
        <s v="Jessica Greene"/>
        <s v="Charles Smith"/>
        <s v="Annette Pierce"/>
        <s v="Elizabeth White"/>
        <s v="Robert Hill"/>
        <s v="Laura Yu"/>
        <s v="James Garcia"/>
        <s v="Matthew Gardner"/>
        <s v="Katherine Williams"/>
        <s v="Kerri Andrews"/>
        <s v="Brian Wheeler"/>
        <s v="Nancy Sanchez"/>
        <s v="Sarah Flores"/>
        <s v="Monica Lee"/>
        <s v="George Foster"/>
        <s v="Micheal Graham"/>
        <s v="Amber Moore"/>
        <s v="Willie Huynh"/>
        <s v="Jeffrey Weber"/>
        <s v="Emily Gill"/>
        <s v="Timothy Murphy"/>
        <s v="Carol Mitchell"/>
        <s v="Kyle Baker"/>
        <s v="Olivia Dickerson"/>
        <s v="Elizabeth Coffey"/>
        <s v="Michael Rodriguez"/>
        <s v="Hannah Hendricks"/>
        <s v="William Ruiz"/>
        <s v="Emma Scott"/>
        <s v="Lynn Matthews"/>
        <s v="Vincent Perez"/>
        <s v="Matthew Parker"/>
        <s v="Eric Mason"/>
        <s v="Amy Page"/>
        <s v="Danielle Mitchell"/>
        <s v="Paula Marshall"/>
        <s v="Christopher Jordan"/>
        <s v="Luis Warner"/>
        <s v="Carrie Smith"/>
        <s v="Veronica Kelley"/>
        <s v="Jessica Sloan"/>
        <s v="Roy Miller"/>
        <s v="Kimberly Greene"/>
        <s v="Christopher Espinoza"/>
        <s v="Emily Ellison"/>
        <s v="Stephen Hogan"/>
        <s v="Austin Davis"/>
        <s v="Michael Bell"/>
        <s v="Keith Brooks"/>
        <s v="Vincent Kramer"/>
        <s v="Cynthia Wilcox"/>
        <s v="Reginald Hebert"/>
        <s v="Sabrina Clark"/>
        <s v="Cheryl Stevens"/>
        <s v="Kelsey Huber"/>
        <s v="Brent Hernandez"/>
        <s v="Randy Fisher"/>
        <s v="Michelle Lynch"/>
        <s v="Nicholas Flores"/>
        <s v="Eric Nunez"/>
        <s v="Shawn Leach"/>
        <s v="Kathryn Gray"/>
        <s v="Connie Holmes"/>
        <s v="Cassandra Farley"/>
        <s v="Ashley Petty"/>
        <s v="Kathleen Cox"/>
        <s v="Daniel Flowers"/>
        <s v="James Benitez"/>
        <s v="Casey Garcia"/>
        <s v="James Hernandez"/>
        <s v="Anthony West"/>
        <s v="Brett Sutton"/>
        <s v="Sandra Hicks"/>
        <s v="Candace Martinez"/>
        <s v="Kimberly Smith"/>
        <s v="Anthony Lane"/>
        <s v="Kaylee Glover"/>
        <s v="Robert Brooks"/>
        <s v="Jessica Russell"/>
        <s v="Tyler Park"/>
        <s v="James Taylor"/>
        <s v="Donald Moore"/>
        <s v="Joseph Knight"/>
        <s v="John Thompson"/>
        <s v="Austin Hammond"/>
        <s v="Lydia Donovan"/>
        <s v="Heather Parker"/>
        <s v="Jeffrey Johnson III"/>
        <s v="Richard Kelley"/>
        <s v="Kayla Ross"/>
        <s v="Rachel Fisher"/>
        <s v="Andrew Barry"/>
        <s v="Bryan Russell"/>
        <s v="Charles Moore"/>
        <s v="Christina Davis"/>
        <s v="James Dickerson"/>
        <s v="Sabrina Hartman"/>
        <s v="Kevin Jackson"/>
        <s v="Kristen Lawson"/>
        <s v="Darryl Robbins"/>
        <s v="Jesse Bond"/>
        <s v="Jenna Holland"/>
        <s v="Michelle Williams"/>
        <s v="Rebecca Wright"/>
        <s v="Justin Vasquez"/>
        <s v="Aaron Jones"/>
        <s v="Vanessa Smith"/>
        <s v="Jessica Baker"/>
        <s v="William Morse"/>
        <s v="Stephanie Leonard"/>
        <s v="Randy Johnson"/>
        <s v="Mark Dixon"/>
        <s v="Victoria Duran"/>
        <s v="Luis Luna"/>
        <s v="Stephanie Thomas"/>
        <s v="Thomas Matthews"/>
        <s v="Jonathan Young"/>
        <s v="Sheri Berg"/>
        <s v="Brittany Jenkins"/>
        <s v="Courtney Williams"/>
        <s v="Brandon Alvarado"/>
        <s v="Shawn Wise"/>
        <s v="Adam James"/>
        <s v="Mitchell Lester"/>
        <s v="Justin Thomas"/>
        <s v="Brian Young"/>
        <s v="Becky Hodges"/>
        <s v="Tyler Thompson"/>
        <s v="Anthony May"/>
        <s v="Samuel Moore"/>
        <s v="Jason Brown"/>
        <s v="Richard Castaneda"/>
        <s v="Monica Gibson"/>
        <s v="Danny Ramirez"/>
        <s v="Lauren Harris"/>
        <s v="Michelle Hunter"/>
        <s v="Keith Smith"/>
        <s v="Julia Gallagher"/>
        <s v="Tanya Thomas MD"/>
        <s v="Hailey Chandler"/>
        <s v="Frank Reynolds"/>
        <s v="Matthew Kelley"/>
        <s v="Tammy Bell"/>
        <s v="Patricia Sanford"/>
        <s v="Dale Craig"/>
        <s v="Jeffrey Dixon"/>
        <s v="Brenda Davis"/>
        <s v="Steven Herrera"/>
        <s v="Shelby Browning"/>
        <s v="Katherine Harris"/>
        <s v="Richard Lyons"/>
        <s v="Erica Scott"/>
        <s v="Eric Griffith"/>
        <s v="Kyle Dickson"/>
        <s v="Jacob Stewart"/>
        <s v="Steven Acosta"/>
        <s v="Anthony Evans"/>
        <s v="Cynthia Ferguson"/>
        <s v="Terry Mcdaniel"/>
        <s v="Robert Stokes"/>
        <s v="Mrs. Rachel Cannon DDS"/>
        <s v="Craig Ortega"/>
        <s v="Kaitlyn Flores"/>
        <s v="April Marquez"/>
        <s v="Shannon Warren"/>
        <s v="Jason Randolph"/>
        <s v="Jamie Bradley"/>
        <s v="David Hamilton"/>
        <s v="Eddie Gonzales"/>
        <s v="Morgan Mccarthy"/>
        <s v="John Thomas"/>
        <s v="Ashley Rodriguez"/>
        <s v="Bryan Brown"/>
        <s v="Ashley Aguilar"/>
        <s v="Sarah Montgomery"/>
        <s v="Brenda Murphy"/>
        <s v="Angela Todd"/>
        <s v="Evelyn Harris"/>
        <s v="Terri Madden"/>
        <s v="William Walters"/>
        <s v="Brandi Vasquez"/>
        <s v="Heather Gray"/>
        <s v="William Carr"/>
        <s v="Jacob Guzman"/>
        <s v="Michael Nash"/>
        <s v="Michael Gallegos"/>
        <s v="David Padilla"/>
        <s v="Kyle Jackson"/>
        <s v="Jessica Richardson"/>
        <s v="Rebecca Huff"/>
        <s v="Lance Cain"/>
        <s v="Ronald Frey Jr."/>
        <s v="Andrew Allen"/>
        <s v="Lori Colon"/>
        <s v="Jennifer Chase"/>
        <s v="Karen Townsend"/>
        <s v="Tiffany Robinson"/>
        <s v="Miguel Alvarez"/>
        <s v="Marcus Brown"/>
        <s v="Amanda Williams"/>
        <s v="William Hill"/>
        <s v="Kenneth Matthews"/>
        <s v="Jasmine James"/>
        <s v="Randall Bell"/>
        <s v="Amy Duran MD"/>
        <s v="Kaitlyn Graham MD"/>
        <s v="Scott Craig"/>
        <s v="Mary Crawford"/>
        <s v="Alexandra Moran"/>
        <s v="Brandon Hughes"/>
        <s v="Nicole Dudley"/>
        <s v="David Bell"/>
        <s v="Austin White"/>
        <s v="Pamela Callahan DVM"/>
        <s v="Claire Cole"/>
        <s v="Larry Casey"/>
        <s v="Jacob Mann"/>
        <s v="Frank Garcia"/>
        <s v="John Cox"/>
        <s v="Brandon Norton"/>
        <s v="Maria Davis"/>
        <s v="Suzanne Cross"/>
        <s v="Leonard Gonzalez"/>
        <s v="Nicholas Martin"/>
        <s v="Renee Robinson"/>
        <s v="Susan Ramirez"/>
        <s v="Jeffrey Henderson"/>
        <s v="Mark Fry"/>
        <s v="Stephanie Manning"/>
        <s v="Robert Daniels"/>
        <s v="Kelly Jones"/>
        <s v="Ashley Adams MD"/>
        <s v="Lawrence Oliver"/>
        <s v="Daniel Burns"/>
        <s v="Benjamin Higgins"/>
        <s v="Vincent Roth"/>
        <s v="Carlos Wells"/>
        <s v="Benjamin Meadows"/>
        <s v="Howard Esparza"/>
        <s v="Adam Stevens"/>
        <s v="Sylvia Barron"/>
        <s v="Johnny Simon"/>
        <s v="Anna Blackburn"/>
        <s v="Nancy Boyd"/>
        <s v="Lindsay Jackson"/>
        <s v="Robert Rojas"/>
        <s v="Roberto Parrish"/>
        <s v="Marisa Prince"/>
        <s v="William Wu"/>
        <s v="Cheyenne Rose"/>
        <s v="Walter Crawford"/>
        <s v="Jacqueline Hubbard"/>
        <s v="Jesus Zuniga"/>
        <s v="Jacob Martinez"/>
        <s v="Melissa Mitchell"/>
        <s v="Steven Steele"/>
        <s v="Debra Rodriguez"/>
        <s v="Emily Frederick"/>
        <s v="Joshua Murray"/>
        <s v="Ashlee Mills"/>
        <s v="Lori Adkins"/>
        <s v="Stephanie Hayes"/>
        <s v="Kevin Johnson"/>
        <s v="James Jones"/>
        <s v="Juan Kelly"/>
        <s v="Sierra Rios"/>
        <s v="Kevin Cooper"/>
        <s v="Janet Guerrero"/>
        <s v="Tanya Walker"/>
        <s v="Anna Ferguson"/>
        <s v="Erin Hernandez"/>
        <s v="Aaron Johnson"/>
        <s v="Joseph Hooper"/>
        <s v="Terry Gilbert"/>
        <s v="Alisha Saunders"/>
        <s v="Scott Gibbs"/>
        <s v="Bethany Harrison"/>
        <s v="Kristy Hernandez"/>
        <s v="Christina Conner"/>
        <s v="Ricardo Andrews"/>
        <s v="Amy Williams"/>
        <s v="Paul Rogers"/>
        <s v="Adam Clark"/>
        <s v="Melissa Wise"/>
        <s v="Joseph Wilson"/>
        <s v="Ashley Palmer"/>
        <s v="Eric Bates"/>
        <s v="Stephanie Sanchez"/>
        <s v="Jessica Hunt"/>
        <s v="Christopher Brooks"/>
        <s v="Jason Norman"/>
        <s v="Daryl Miles"/>
        <s v="Edward Valencia"/>
        <s v="Peter Castro"/>
        <s v="Mary Johnson"/>
        <s v="Christopher Kirk"/>
        <s v="Stephanie Flores"/>
        <s v="Connie Richards"/>
        <s v="Christine Wheeler"/>
        <s v="Joseph Perkins"/>
        <s v="Bryan Baird"/>
        <s v="Bryan Anderson"/>
        <s v="Melinda Montoya"/>
        <s v="Martha Carney"/>
        <s v="Bianca Brown"/>
        <s v="Sarah Miller"/>
        <s v="Barry Garcia"/>
        <s v="Charles Lane"/>
        <s v="Jessica Barajas"/>
        <s v="Mrs. Lauren Potter DDS"/>
        <s v="Julie Chavez"/>
        <s v="Robert Mosley"/>
        <s v="Nancy Kennedy"/>
        <s v="Kristine Carter"/>
        <s v="Malik Walker"/>
        <s v="Shane Clark"/>
        <s v="April Welch"/>
        <s v="Donald Medina"/>
        <s v="Richard Petersen"/>
        <s v="Raymond Bean"/>
        <s v="Nicole Warren"/>
        <s v="Alicia Allen"/>
        <s v="James Clarke"/>
        <s v="Claudia Curry"/>
        <s v="Mr. Ralph Garcia Jr."/>
        <s v="William Cook"/>
        <s v="Scott Harris"/>
        <s v="Sherri Ferguson DVM"/>
        <s v="Brett Mullins"/>
        <s v="Devon Schmitt"/>
        <s v="John Fields"/>
        <s v="Tiffany Parker"/>
        <s v="Jeff Duncan"/>
        <s v="Jeffrey Kline"/>
        <s v="John Jones"/>
        <s v="Carl Ryan"/>
        <s v="Cheryl Johnson"/>
        <s v="Jason Wilson"/>
        <s v="Andrew Macias"/>
        <s v="Dr. Jennifer Benton DVM"/>
        <s v="Kayla Becker"/>
        <s v="Brooke Gonzalez"/>
        <s v="Karen Johnson"/>
        <s v="Spencer Spears"/>
        <s v="Sarah Torres"/>
        <s v="Mr. Eric Lopez"/>
        <s v="Andrew Krueger"/>
        <s v="Jean Jackson"/>
        <s v="Alison Martin"/>
        <s v="Meghan Ballard"/>
        <s v="Daniel Price"/>
        <s v="Cory Evans"/>
        <s v="Louis Jimenez"/>
        <s v="Donald Hernandez"/>
        <s v="John Silva"/>
        <s v="Elizabeth Gonzalez"/>
        <s v="Janet Carlson"/>
        <s v="Michael Stewart"/>
        <s v="Connie Olson"/>
        <s v="Renee Solomon"/>
        <s v="Taylor White"/>
        <s v="Whitney Stout"/>
        <s v="Mr. Curtis Bailey"/>
        <s v="Debra Smith"/>
        <s v="Marissa Hartman"/>
        <s v="Daniel Mosley"/>
        <s v="Marcus Flores"/>
        <s v="Maria Miller"/>
        <s v="Lisa Graham"/>
        <s v="Daniel Dixon"/>
        <s v="Cynthia Smith"/>
        <s v="Megan Charles"/>
        <s v="Zachary Pierce"/>
        <s v="Megan Mclean"/>
        <s v="Cassandra Jordan"/>
        <s v="Denise Hampton"/>
        <s v="Charles Williams"/>
        <s v="Rebecca Owen"/>
        <s v="Randy Acosta"/>
        <s v="Kathy Wilson"/>
        <s v="Andrew Griffin"/>
        <s v="Brandon Kirk"/>
        <s v="Autumn Lee"/>
        <s v="Jamie Jimenez"/>
        <s v="Sean Elliott"/>
        <s v="David Brown"/>
        <s v="Julie Smith MD"/>
        <s v="Paul Bryant"/>
        <s v="Jennifer Hernandez"/>
        <s v="Tony Maddox"/>
        <s v="George Ashley"/>
        <s v="Tonya Long"/>
        <s v="Sean Smith"/>
        <s v="Renee Gomez"/>
        <s v="Christopher Thomas"/>
        <s v="Eric Johnson"/>
        <s v="Michael Jimenez"/>
        <s v="Kimberly King"/>
        <s v="Matthew Blake"/>
        <s v="David Allen"/>
        <s v="Karina Barr"/>
        <s v="Beverly Lamb"/>
        <s v="Shannon Maynard"/>
        <s v="Andrea Hill"/>
        <s v="Victor Collins"/>
        <s v="Rebecca Smith"/>
        <s v="Jamie Brewer"/>
        <s v="Katrina Wood"/>
        <s v="Kristin Hart"/>
        <s v="Danielle Ramirez"/>
        <s v="Crystal Chambers"/>
        <s v="Mark Roy"/>
        <s v="Jason Hernandez"/>
        <s v="Tara Hughes"/>
        <s v="Sabrina Buckley"/>
        <s v="Nancy Jones"/>
        <s v="Mark Blackburn"/>
        <s v="Mark Rodriguez"/>
        <s v="Kelsey Castaneda"/>
        <s v="William Beck"/>
        <s v="Samuel Wallace"/>
        <s v="Carl Wade DDS"/>
        <s v="Michelle Hardy"/>
        <s v="Connor Morgan"/>
        <s v="Morgan Montes"/>
        <s v="Caitlin Thomas"/>
        <s v="Patricia Davis"/>
        <s v="Nicholas Tucker"/>
        <s v="Lawrence Robinson"/>
        <s v="Gregory English"/>
        <s v="Nicholas Johnson"/>
        <s v="Christopher Walker"/>
        <s v="Douglas Reynolds"/>
        <s v="Jerry Smith"/>
        <s v="Mario Hall"/>
        <s v="Christopher Stone"/>
        <s v="Ryan Foster"/>
        <s v="Vanessa Deleon"/>
        <s v="Christina Oconnell"/>
        <s v="Samuel Hayes"/>
        <s v="Logan Galloway"/>
        <s v="Cindy Rowland"/>
        <s v="Tina Davies"/>
        <s v="Michael Chambers"/>
        <s v="Reginald Espinoza"/>
        <s v="Cathy Clark"/>
        <s v="Douglas Pennington"/>
        <s v="David Lara"/>
        <s v="Thomas Wallace"/>
        <s v="Mr. Nathaniel Reeves"/>
        <s v="Joyce Good MD"/>
        <s v="Rebekah Carter"/>
        <s v="Jennifer Arnold"/>
        <s v="Michelle Anderson"/>
        <s v="Kimberly Beard"/>
        <s v="Ryan Hale"/>
        <s v="Raymond Reyes"/>
        <s v="Roger Harris"/>
        <s v="William Martin"/>
        <s v="Vanessa Bauer"/>
        <s v="Elizabeth Hernandez"/>
        <s v="Dr. Terry Alvarado"/>
      </sharedItems>
    </cacheField>
    <cacheField name="State" numFmtId="0">
      <sharedItems count="6">
        <s v="Illinois"/>
        <s v="New York"/>
        <s v="Florida"/>
        <s v="Ohio"/>
        <s v="Texas"/>
        <s v="California"/>
      </sharedItems>
    </cacheField>
    <cacheField name="Category" numFmtId="0">
      <sharedItems count="3">
        <s v="Electronics"/>
        <s v="Office Supplies"/>
        <s v="Furniture"/>
      </sharedItems>
    </cacheField>
    <cacheField name="Sub-Category" numFmtId="0">
      <sharedItems count="12">
        <s v="Electronic Games"/>
        <s v="Pens"/>
        <s v="Phones"/>
        <s v="Sofas"/>
        <s v="Chairs"/>
        <s v="Printers"/>
        <s v="Paper"/>
        <s v="Bookcases"/>
        <s v="Tables"/>
        <s v="Markers"/>
        <s v="Binders"/>
        <s v="Laptops"/>
      </sharedItems>
    </cacheField>
    <cacheField name="Sales" numFmtId="164">
      <sharedItems containsSemiMixedTypes="0" containsString="0" containsNumber="1" containsInteger="1" minValue="508" maxValue="9992" count="773">
        <n v="8962"/>
        <n v="2975"/>
        <n v="8204"/>
        <n v="2850"/>
        <n v="9536"/>
        <n v="2225"/>
        <n v="5035"/>
        <n v="7702"/>
        <n v="9884"/>
        <n v="9609"/>
        <n v="869"/>
        <n v="1486"/>
        <n v="4115"/>
        <n v="4761"/>
        <n v="3808"/>
        <n v="2588"/>
        <n v="6783"/>
        <n v="3573"/>
        <n v="8055"/>
        <n v="9272"/>
        <n v="5460"/>
        <n v="2401"/>
        <n v="1045"/>
        <n v="8706"/>
        <n v="4904"/>
        <n v="3080"/>
        <n v="2895"/>
        <n v="697"/>
        <n v="8102"/>
        <n v="3234"/>
        <n v="3560"/>
        <n v="7748"/>
        <n v="6381"/>
        <n v="992"/>
        <n v="3918"/>
        <n v="6851"/>
        <n v="7626"/>
        <n v="1023"/>
        <n v="3423"/>
        <n v="5028"/>
        <n v="6528"/>
        <n v="8930"/>
        <n v="2684"/>
        <n v="7441"/>
        <n v="6517"/>
        <n v="1166"/>
        <n v="9109"/>
        <n v="2465"/>
        <n v="1579"/>
        <n v="3760"/>
        <n v="8490"/>
        <n v="2082"/>
        <n v="5461"/>
        <n v="1231"/>
        <n v="9965"/>
        <n v="8994"/>
        <n v="2472"/>
        <n v="7684"/>
        <n v="7786"/>
        <n v="717"/>
        <n v="508"/>
        <n v="1778"/>
        <n v="2101"/>
        <n v="9775"/>
        <n v="3747"/>
        <n v="3194"/>
        <n v="4183"/>
        <n v="6932"/>
        <n v="6087"/>
        <n v="1961"/>
        <n v="7952"/>
        <n v="9873"/>
        <n v="7493"/>
        <n v="2119"/>
        <n v="7595"/>
        <n v="9386"/>
        <n v="8346"/>
        <n v="6218"/>
        <n v="5167"/>
        <n v="2799"/>
        <n v="8979"/>
        <n v="4027"/>
        <n v="1033"/>
        <n v="8681"/>
        <n v="4569"/>
        <n v="4116"/>
        <n v="4015"/>
        <n v="3482"/>
        <n v="3518"/>
        <n v="4157"/>
        <n v="9827"/>
        <n v="8077"/>
        <n v="1574"/>
        <n v="5635"/>
        <n v="6515"/>
        <n v="8158"/>
        <n v="3445"/>
        <n v="9837"/>
        <n v="1518"/>
        <n v="8851"/>
        <n v="8649"/>
        <n v="2140"/>
        <n v="2670"/>
        <n v="1078"/>
        <n v="2137"/>
        <n v="2831"/>
        <n v="1379"/>
        <n v="4244"/>
        <n v="3316"/>
        <n v="611"/>
        <n v="8293"/>
        <n v="2863"/>
        <n v="9883"/>
        <n v="5210"/>
        <n v="916"/>
        <n v="1165"/>
        <n v="7846"/>
        <n v="4007"/>
        <n v="810"/>
        <n v="6145"/>
        <n v="2504"/>
        <n v="3124"/>
        <n v="1089"/>
        <n v="8572"/>
        <n v="8059"/>
        <n v="6016"/>
        <n v="8769"/>
        <n v="2804"/>
        <n v="5014"/>
        <n v="4307"/>
        <n v="5694"/>
        <n v="1016"/>
        <n v="5768"/>
        <n v="1217"/>
        <n v="8581"/>
        <n v="7564"/>
        <n v="3409"/>
        <n v="9751"/>
        <n v="5152"/>
        <n v="8971"/>
        <n v="2939"/>
        <n v="6488"/>
        <n v="9279"/>
        <n v="2596"/>
        <n v="738"/>
        <n v="2689"/>
        <n v="4220"/>
        <n v="8305"/>
        <n v="3309"/>
        <n v="8586"/>
        <n v="7019"/>
        <n v="714"/>
        <n v="8044"/>
        <n v="8752"/>
        <n v="6089"/>
        <n v="2586"/>
        <n v="3757"/>
        <n v="914"/>
        <n v="1548"/>
        <n v="2280"/>
        <n v="5338"/>
        <n v="782"/>
        <n v="4371"/>
        <n v="838"/>
        <n v="3577"/>
        <n v="2539"/>
        <n v="5047"/>
        <n v="3913"/>
        <n v="2791"/>
        <n v="6223"/>
        <n v="8943"/>
        <n v="3297"/>
        <n v="8945"/>
        <n v="7792"/>
        <n v="2346"/>
        <n v="2792"/>
        <n v="3022"/>
        <n v="5266"/>
        <n v="7838"/>
        <n v="9300"/>
        <n v="1733"/>
        <n v="9498"/>
        <n v="1083"/>
        <n v="6093"/>
        <n v="2478"/>
        <n v="544"/>
        <n v="9704"/>
        <n v="4948"/>
        <n v="6435"/>
        <n v="5393"/>
        <n v="6265"/>
        <n v="702"/>
        <n v="1591"/>
        <n v="7870"/>
        <n v="7759"/>
        <n v="7521"/>
        <n v="7856"/>
        <n v="6447"/>
        <n v="8947"/>
        <n v="9002"/>
        <n v="9090"/>
        <n v="851"/>
        <n v="4369"/>
        <n v="6499"/>
        <n v="8243"/>
        <n v="6139"/>
        <n v="8636"/>
        <n v="4439"/>
        <n v="9921"/>
        <n v="2737"/>
        <n v="9335"/>
        <n v="3348"/>
        <n v="8856"/>
        <n v="5632"/>
        <n v="8982"/>
        <n v="4826"/>
        <n v="4051"/>
        <n v="5011"/>
        <n v="2962"/>
        <n v="7131"/>
        <n v="4200"/>
        <n v="9909"/>
        <n v="4706"/>
        <n v="6584"/>
        <n v="9538"/>
        <n v="9035"/>
        <n v="815"/>
        <n v="6061"/>
        <n v="8861"/>
        <n v="3657"/>
        <n v="5557"/>
        <n v="4172"/>
        <n v="6724"/>
        <n v="874"/>
        <n v="4163"/>
        <n v="6355"/>
        <n v="1626"/>
        <n v="6934"/>
        <n v="1314"/>
        <n v="9144"/>
        <n v="3436"/>
        <n v="9204"/>
        <n v="9894"/>
        <n v="2695"/>
        <n v="3090"/>
        <n v="9683"/>
        <n v="7169"/>
        <n v="4046"/>
        <n v="7620"/>
        <n v="8042"/>
        <n v="9905"/>
        <n v="8194"/>
        <n v="9726"/>
        <n v="4975"/>
        <n v="4688"/>
        <n v="4591"/>
        <n v="9612"/>
        <n v="537"/>
        <n v="2284"/>
        <n v="3665"/>
        <n v="4314"/>
        <n v="4920"/>
        <n v="9078"/>
        <n v="6951"/>
        <n v="5578"/>
        <n v="8762"/>
        <n v="1786"/>
        <n v="1109"/>
        <n v="5954"/>
        <n v="9820"/>
        <n v="2451"/>
        <n v="3129"/>
        <n v="7821"/>
        <n v="3433"/>
        <n v="3887"/>
        <n v="6707"/>
        <n v="1760"/>
        <n v="6351"/>
        <n v="7633"/>
        <n v="7560"/>
        <n v="7417"/>
        <n v="8104"/>
        <n v="1525"/>
        <n v="9992"/>
        <n v="9619"/>
        <n v="5354"/>
        <n v="9406"/>
        <n v="1156"/>
        <n v="8568"/>
        <n v="3283"/>
        <n v="2663"/>
        <n v="2901"/>
        <n v="5313"/>
        <n v="5193"/>
        <n v="9640"/>
        <n v="9215"/>
        <n v="4853"/>
        <n v="8590"/>
        <n v="6973"/>
        <n v="6940"/>
        <n v="5105"/>
        <n v="6690"/>
        <n v="4985"/>
        <n v="9835"/>
        <n v="9691"/>
        <n v="7826"/>
        <n v="4390"/>
        <n v="1150"/>
        <n v="770"/>
        <n v="9768"/>
        <n v="4968"/>
        <n v="1731"/>
        <n v="1894"/>
        <n v="7144"/>
        <n v="7213"/>
        <n v="3176"/>
        <n v="5196"/>
        <n v="6586"/>
        <n v="6255"/>
        <n v="2109"/>
        <n v="7340"/>
        <n v="5442"/>
        <n v="1397"/>
        <n v="4897"/>
        <n v="5704"/>
        <n v="8797"/>
        <n v="9236"/>
        <n v="5219"/>
        <n v="975"/>
        <n v="4492"/>
        <n v="7957"/>
        <n v="4852"/>
        <n v="7105"/>
        <n v="3024"/>
        <n v="6732"/>
        <n v="4495"/>
        <n v="1281"/>
        <n v="2404"/>
        <n v="3189"/>
        <n v="706"/>
        <n v="5410"/>
        <n v="3522"/>
        <n v="8438"/>
        <n v="1689"/>
        <n v="3936"/>
        <n v="3686"/>
        <n v="3099"/>
        <n v="2521"/>
        <n v="6389"/>
        <n v="1126"/>
        <n v="7421"/>
        <n v="2349"/>
        <n v="8220"/>
        <n v="2379"/>
        <n v="7377"/>
        <n v="1592"/>
        <n v="1476"/>
        <n v="6236"/>
        <n v="7644"/>
        <n v="4206"/>
        <n v="2078"/>
        <n v="3877"/>
        <n v="6109"/>
        <n v="4628"/>
        <n v="7344"/>
        <n v="7306"/>
        <n v="5832"/>
        <n v="655"/>
        <n v="526"/>
        <n v="3288"/>
        <n v="1093"/>
        <n v="2636"/>
        <n v="3574"/>
        <n v="576"/>
        <n v="2323"/>
        <n v="1368"/>
        <n v="3839"/>
        <n v="2685"/>
        <n v="9916"/>
        <n v="6184"/>
        <n v="4548"/>
        <n v="7067"/>
        <n v="4468"/>
        <n v="5250"/>
        <n v="5944"/>
        <n v="4957"/>
        <n v="7811"/>
        <n v="9851"/>
        <n v="9989"/>
        <n v="4099"/>
        <n v="1757"/>
        <n v="2174"/>
        <n v="8541"/>
        <n v="1931"/>
        <n v="5564"/>
        <n v="3953"/>
        <n v="3083"/>
        <n v="5379"/>
        <n v="6956"/>
        <n v="3095"/>
        <n v="2542"/>
        <n v="5344"/>
        <n v="4462"/>
        <n v="6212"/>
        <n v="3957"/>
        <n v="6034"/>
        <n v="8956"/>
        <n v="972"/>
        <n v="6123"/>
        <n v="5346"/>
        <n v="9562"/>
        <n v="8531"/>
        <n v="5335"/>
        <n v="9382"/>
        <n v="4936"/>
        <n v="9399"/>
        <n v="3854"/>
        <n v="4906"/>
        <n v="847"/>
        <n v="8560"/>
        <n v="1031"/>
        <n v="9057"/>
        <n v="6864"/>
        <n v="9200"/>
        <n v="6829"/>
        <n v="6390"/>
        <n v="1239"/>
        <n v="1262"/>
        <n v="7091"/>
        <n v="721"/>
        <n v="8364"/>
        <n v="5234"/>
        <n v="2701"/>
        <n v="7273"/>
        <n v="4911"/>
        <n v="531"/>
        <n v="9914"/>
        <n v="5470"/>
        <n v="1496"/>
        <n v="9654"/>
        <n v="3112"/>
        <n v="4708"/>
        <n v="8089"/>
        <n v="4146"/>
        <n v="3793"/>
        <n v="7195"/>
        <n v="4364"/>
        <n v="736"/>
        <n v="2666"/>
        <n v="6008"/>
        <n v="599"/>
        <n v="2727"/>
        <n v="7643"/>
        <n v="1454"/>
        <n v="962"/>
        <n v="5951"/>
        <n v="8903"/>
        <n v="5448"/>
        <n v="8141"/>
        <n v="1067"/>
        <n v="8422"/>
        <n v="6105"/>
        <n v="1341"/>
        <n v="2258"/>
        <n v="5911"/>
        <n v="1818"/>
        <n v="4534"/>
        <n v="6077"/>
        <n v="2999"/>
        <n v="5142"/>
        <n v="5263"/>
        <n v="4057"/>
        <n v="8537"/>
        <n v="2463"/>
        <n v="3228"/>
        <n v="2321"/>
        <n v="5449"/>
        <n v="3958"/>
        <n v="3132"/>
        <n v="9832"/>
        <n v="796"/>
        <n v="7519"/>
        <n v="1564"/>
        <n v="6385"/>
        <n v="7472"/>
        <n v="9548"/>
        <n v="5151"/>
        <n v="8548"/>
        <n v="4202"/>
        <n v="9752"/>
        <n v="5462"/>
        <n v="5165"/>
        <n v="4863"/>
        <n v="3776"/>
        <n v="5831"/>
        <n v="883"/>
        <n v="8127"/>
        <n v="5024"/>
        <n v="4358"/>
        <n v="6459"/>
        <n v="2565"/>
        <n v="6009"/>
        <n v="2858"/>
        <n v="8175"/>
        <n v="5846"/>
        <n v="5322"/>
        <n v="7259"/>
        <n v="6671"/>
        <n v="7434"/>
        <n v="2054"/>
        <n v="5518"/>
        <n v="1954"/>
        <n v="7346"/>
        <n v="9770"/>
        <n v="7179"/>
        <n v="6967"/>
        <n v="1091"/>
        <n v="6027"/>
        <n v="2944"/>
        <n v="1248"/>
        <n v="3669"/>
        <n v="514"/>
        <n v="762"/>
        <n v="798"/>
        <n v="7967"/>
        <n v="3661"/>
        <n v="4918"/>
        <n v="5317"/>
        <n v="6304"/>
        <n v="1133"/>
        <n v="6248"/>
        <n v="3428"/>
        <n v="7223"/>
        <n v="3731"/>
        <n v="1732"/>
        <n v="8788"/>
        <n v="1676"/>
        <n v="3927"/>
        <n v="2776"/>
        <n v="5427"/>
        <n v="7122"/>
        <n v="7327"/>
        <n v="9952"/>
        <n v="6147"/>
        <n v="8200"/>
        <n v="9316"/>
        <n v="6379"/>
        <n v="8526"/>
        <n v="9869"/>
        <n v="4037"/>
        <n v="4629"/>
        <n v="953"/>
        <n v="7355"/>
        <n v="1843"/>
        <n v="1603"/>
        <n v="4171"/>
        <n v="3333"/>
        <n v="9438"/>
        <n v="9840"/>
        <n v="6596"/>
        <n v="7930"/>
        <n v="7992"/>
        <n v="5994"/>
        <n v="6252"/>
        <n v="4539"/>
        <n v="9659"/>
        <n v="8974"/>
        <n v="1523"/>
        <n v="9073"/>
        <n v="8218"/>
        <n v="9879"/>
        <n v="7664"/>
        <n v="2553"/>
        <n v="3281"/>
        <n v="2239"/>
        <n v="2450"/>
        <n v="4751"/>
        <n v="7533"/>
        <n v="4734"/>
        <n v="4074"/>
        <n v="2334"/>
        <n v="6646"/>
        <n v="5224"/>
        <n v="5002"/>
        <n v="7380"/>
        <n v="2514"/>
        <n v="6485"/>
        <n v="7806"/>
        <n v="8780"/>
        <n v="4026"/>
        <n v="4609"/>
        <n v="2328"/>
        <n v="907"/>
        <n v="6017"/>
        <n v="6669"/>
        <n v="8178"/>
        <n v="670"/>
        <n v="594"/>
        <n v="1167"/>
        <n v="2841"/>
        <n v="5680"/>
        <n v="1366"/>
        <n v="1860"/>
        <n v="3956"/>
        <n v="6449"/>
        <n v="7699"/>
        <n v="9369"/>
        <n v="8680"/>
        <n v="3067"/>
        <n v="6402"/>
        <n v="5916"/>
        <n v="3900"/>
        <n v="7690"/>
        <n v="912"/>
        <n v="7163"/>
        <n v="5899"/>
        <n v="4510"/>
        <n v="7895"/>
        <n v="2740"/>
        <n v="2589"/>
        <n v="9694"/>
        <n v="9084"/>
        <n v="7484"/>
        <n v="7700"/>
        <n v="7600"/>
        <n v="7501"/>
        <n v="2516"/>
        <n v="8644"/>
        <n v="1638"/>
        <n v="6392"/>
        <n v="6672"/>
        <n v="4164"/>
        <n v="5389"/>
        <n v="7524"/>
        <n v="2931"/>
        <n v="6045"/>
        <n v="9337"/>
        <n v="9132"/>
        <n v="9895"/>
        <n v="3260"/>
        <n v="9789"/>
        <n v="9229"/>
        <n v="4699"/>
        <n v="3265"/>
        <n v="1629"/>
        <n v="2025"/>
        <n v="6800"/>
        <n v="4215"/>
        <n v="7497"/>
        <n v="2386"/>
        <n v="1297"/>
        <n v="7909"/>
        <n v="3756"/>
        <n v="9024"/>
        <n v="2468"/>
        <n v="5412"/>
        <n v="2062"/>
        <n v="9574"/>
        <n v="4382"/>
        <n v="4404"/>
        <n v="8776"/>
        <n v="5306"/>
        <n v="6962"/>
        <n v="3273"/>
        <n v="7301"/>
        <n v="6622"/>
        <n v="5343"/>
        <n v="2493"/>
        <n v="9849"/>
        <n v="7478"/>
        <n v="9808"/>
        <n v="9680"/>
        <n v="8468"/>
        <n v="4441"/>
        <n v="6891"/>
        <n v="8709"/>
        <n v="8383"/>
        <n v="3084"/>
        <n v="9380"/>
        <n v="8558"/>
        <n v="4080"/>
        <n v="6903"/>
        <n v="8793"/>
        <n v="7333"/>
        <n v="3944"/>
        <n v="6711"/>
        <n v="5031"/>
        <n v="6295"/>
        <n v="1290"/>
        <n v="6113"/>
        <n v="7733"/>
        <n v="8524"/>
        <n v="6187"/>
        <n v="3659"/>
        <n v="622"/>
        <n v="1755"/>
        <n v="8020"/>
        <n v="8850"/>
        <n v="8667"/>
        <n v="822"/>
        <n v="9730"/>
        <n v="2483"/>
        <n v="9565"/>
        <n v="8245"/>
        <n v="3098"/>
        <n v="1895"/>
        <n v="5323"/>
        <n v="9653"/>
        <n v="1801"/>
        <n v="5301"/>
        <n v="3196"/>
        <n v="6200"/>
        <n v="1085"/>
        <n v="6471"/>
        <n v="4932"/>
        <n v="8825"/>
        <n v="7784"/>
        <n v="5591"/>
        <n v="5122"/>
        <n v="5730"/>
        <n v="4544"/>
        <n v="5900"/>
        <n v="3461"/>
        <n v="5714"/>
        <n v="3853"/>
        <n v="5934"/>
        <n v="2995"/>
        <n v="2047"/>
        <n v="2750"/>
        <n v="8639"/>
        <n v="1388"/>
        <n v="8555"/>
        <n v="8400"/>
        <n v="4963"/>
        <n v="4521"/>
        <n v="3479"/>
        <n v="5457"/>
        <n v="2710"/>
        <n v="3224"/>
        <n v="8858"/>
        <n v="8563"/>
        <n v="2957"/>
        <n v="1146"/>
        <n v="949"/>
        <n v="6823"/>
        <n v="523"/>
        <n v="3977"/>
        <n v="1992"/>
        <n v="6673"/>
        <n v="2759"/>
        <n v="3451"/>
        <n v="725"/>
        <n v="7201"/>
        <n v="3411"/>
        <n v="8848"/>
        <n v="5376"/>
        <n v="7566"/>
        <n v="5666"/>
        <n v="9707"/>
        <n v="8521"/>
        <n v="6195"/>
        <n v="3137"/>
        <n v="4470"/>
        <n v="6129"/>
        <n v="4395"/>
        <n v="9874"/>
        <n v="5402"/>
        <n v="1108"/>
        <n v="9776"/>
        <n v="535"/>
        <n v="7900"/>
        <n v="9845"/>
        <n v="1010"/>
      </sharedItems>
    </cacheField>
    <cacheField name="Quantity" numFmtId="0">
      <sharedItems containsSemiMixedTypes="0" containsString="0" containsNumber="1" containsInteger="1" minValue="1" maxValue="20"/>
    </cacheField>
    <cacheField name="Profit" numFmtId="164">
      <sharedItems containsSemiMixedTypes="0" containsString="0" containsNumber="1" containsInteger="1" minValue="50" maxValue="4930"/>
    </cacheField>
  </cacheFields>
  <extLst>
    <ext xmlns:x14="http://schemas.microsoft.com/office/spreadsheetml/2009/9/main" uri="{725AE2AE-9491-48be-B2B4-4EB974FC3084}">
      <x14:pivotCacheDefinition pivotCacheId="2084452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NC" refreshedDate="46072.921720833336" createdVersion="8" refreshedVersion="8" minRefreshableVersion="3" recordCount="1194" xr:uid="{03F7469C-573A-4CC7-8B98-CAD1B7607091}">
  <cacheSource type="worksheet">
    <worksheetSource name="CustomerCount"/>
  </cacheSource>
  <cacheFields count="2">
    <cacheField name="Year " numFmtId="0">
      <sharedItems containsString="0" containsBlank="1" containsNumber="1" containsInteger="1" minValue="2020" maxValue="2023" count="5">
        <n v="2020"/>
        <n v="2021"/>
        <n v="2022"/>
        <n v="2023"/>
        <m/>
      </sharedItems>
    </cacheField>
    <cacheField name="Customer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d v="2020-03-22T00:00:00"/>
    <x v="0"/>
    <x v="0"/>
    <x v="0"/>
    <x v="0"/>
    <x v="0"/>
    <x v="0"/>
    <x v="0"/>
    <n v="18"/>
    <n v="2444"/>
  </r>
  <r>
    <d v="2020-03-23T00:00:00"/>
    <x v="0"/>
    <x v="0"/>
    <x v="1"/>
    <x v="1"/>
    <x v="1"/>
    <x v="1"/>
    <x v="1"/>
    <n v="14"/>
    <n v="462"/>
  </r>
  <r>
    <d v="2020-03-31T00:00:00"/>
    <x v="0"/>
    <x v="0"/>
    <x v="2"/>
    <x v="0"/>
    <x v="1"/>
    <x v="1"/>
    <x v="2"/>
    <n v="6"/>
    <n v="2382"/>
  </r>
  <r>
    <d v="2020-03-31T00:00:00"/>
    <x v="0"/>
    <x v="0"/>
    <x v="2"/>
    <x v="0"/>
    <x v="0"/>
    <x v="2"/>
    <x v="3"/>
    <n v="6"/>
    <n v="904"/>
  </r>
  <r>
    <d v="2020-04-02T00:00:00"/>
    <x v="0"/>
    <x v="1"/>
    <x v="3"/>
    <x v="2"/>
    <x v="0"/>
    <x v="2"/>
    <x v="4"/>
    <n v="9"/>
    <n v="1437"/>
  </r>
  <r>
    <d v="2020-04-02T00:00:00"/>
    <x v="0"/>
    <x v="1"/>
    <x v="3"/>
    <x v="2"/>
    <x v="2"/>
    <x v="3"/>
    <x v="5"/>
    <n v="7"/>
    <n v="589"/>
  </r>
  <r>
    <d v="2020-04-04T00:00:00"/>
    <x v="0"/>
    <x v="1"/>
    <x v="4"/>
    <x v="2"/>
    <x v="2"/>
    <x v="4"/>
    <x v="6"/>
    <n v="2"/>
    <n v="2008"/>
  </r>
  <r>
    <d v="2020-04-04T00:00:00"/>
    <x v="0"/>
    <x v="1"/>
    <x v="4"/>
    <x v="2"/>
    <x v="0"/>
    <x v="5"/>
    <x v="7"/>
    <n v="19"/>
    <n v="60"/>
  </r>
  <r>
    <d v="2020-04-04T00:00:00"/>
    <x v="0"/>
    <x v="1"/>
    <x v="4"/>
    <x v="2"/>
    <x v="0"/>
    <x v="5"/>
    <x v="8"/>
    <n v="7"/>
    <n v="4446"/>
  </r>
  <r>
    <d v="2020-04-05T00:00:00"/>
    <x v="0"/>
    <x v="1"/>
    <x v="5"/>
    <x v="3"/>
    <x v="2"/>
    <x v="3"/>
    <x v="9"/>
    <n v="3"/>
    <n v="4339"/>
  </r>
  <r>
    <d v="2020-04-08T00:00:00"/>
    <x v="0"/>
    <x v="1"/>
    <x v="6"/>
    <x v="3"/>
    <x v="1"/>
    <x v="6"/>
    <x v="10"/>
    <n v="14"/>
    <n v="373"/>
  </r>
  <r>
    <d v="2020-04-08T00:00:00"/>
    <x v="0"/>
    <x v="1"/>
    <x v="6"/>
    <x v="3"/>
    <x v="2"/>
    <x v="7"/>
    <x v="11"/>
    <n v="7"/>
    <n v="114"/>
  </r>
  <r>
    <d v="2020-04-08T00:00:00"/>
    <x v="0"/>
    <x v="1"/>
    <x v="7"/>
    <x v="2"/>
    <x v="2"/>
    <x v="3"/>
    <x v="12"/>
    <n v="1"/>
    <n v="1285"/>
  </r>
  <r>
    <d v="2020-04-08T00:00:00"/>
    <x v="0"/>
    <x v="1"/>
    <x v="7"/>
    <x v="2"/>
    <x v="2"/>
    <x v="8"/>
    <x v="13"/>
    <n v="12"/>
    <n v="2231"/>
  </r>
  <r>
    <d v="2020-04-13T00:00:00"/>
    <x v="0"/>
    <x v="1"/>
    <x v="8"/>
    <x v="1"/>
    <x v="1"/>
    <x v="9"/>
    <x v="14"/>
    <n v="4"/>
    <n v="1192"/>
  </r>
  <r>
    <d v="2020-04-13T00:00:00"/>
    <x v="0"/>
    <x v="1"/>
    <x v="8"/>
    <x v="1"/>
    <x v="1"/>
    <x v="1"/>
    <x v="15"/>
    <n v="16"/>
    <n v="705"/>
  </r>
  <r>
    <d v="2020-04-16T00:00:00"/>
    <x v="0"/>
    <x v="1"/>
    <x v="9"/>
    <x v="3"/>
    <x v="2"/>
    <x v="3"/>
    <x v="16"/>
    <n v="8"/>
    <n v="3306"/>
  </r>
  <r>
    <d v="2020-04-18T00:00:00"/>
    <x v="0"/>
    <x v="1"/>
    <x v="10"/>
    <x v="2"/>
    <x v="1"/>
    <x v="1"/>
    <x v="17"/>
    <n v="7"/>
    <n v="562"/>
  </r>
  <r>
    <d v="2020-04-18T00:00:00"/>
    <x v="0"/>
    <x v="1"/>
    <x v="10"/>
    <x v="2"/>
    <x v="0"/>
    <x v="2"/>
    <x v="18"/>
    <n v="10"/>
    <n v="661"/>
  </r>
  <r>
    <d v="2020-04-18T00:00:00"/>
    <x v="0"/>
    <x v="1"/>
    <x v="11"/>
    <x v="4"/>
    <x v="1"/>
    <x v="9"/>
    <x v="19"/>
    <n v="19"/>
    <n v="1771"/>
  </r>
  <r>
    <d v="2020-04-19T00:00:00"/>
    <x v="0"/>
    <x v="1"/>
    <x v="12"/>
    <x v="3"/>
    <x v="2"/>
    <x v="8"/>
    <x v="20"/>
    <n v="14"/>
    <n v="2088"/>
  </r>
  <r>
    <d v="2020-04-22T00:00:00"/>
    <x v="0"/>
    <x v="1"/>
    <x v="13"/>
    <x v="5"/>
    <x v="2"/>
    <x v="7"/>
    <x v="21"/>
    <n v="10"/>
    <n v="1163"/>
  </r>
  <r>
    <d v="2020-04-22T00:00:00"/>
    <x v="0"/>
    <x v="1"/>
    <x v="13"/>
    <x v="5"/>
    <x v="0"/>
    <x v="2"/>
    <x v="22"/>
    <n v="11"/>
    <n v="267"/>
  </r>
  <r>
    <d v="2020-04-25T00:00:00"/>
    <x v="0"/>
    <x v="1"/>
    <x v="14"/>
    <x v="2"/>
    <x v="0"/>
    <x v="0"/>
    <x v="23"/>
    <n v="3"/>
    <n v="1724"/>
  </r>
  <r>
    <d v="2020-04-25T00:00:00"/>
    <x v="0"/>
    <x v="1"/>
    <x v="15"/>
    <x v="4"/>
    <x v="1"/>
    <x v="1"/>
    <x v="24"/>
    <n v="2"/>
    <n v="469"/>
  </r>
  <r>
    <d v="2020-04-25T00:00:00"/>
    <x v="0"/>
    <x v="1"/>
    <x v="15"/>
    <x v="4"/>
    <x v="1"/>
    <x v="10"/>
    <x v="25"/>
    <n v="6"/>
    <n v="737"/>
  </r>
  <r>
    <d v="2020-04-27T00:00:00"/>
    <x v="0"/>
    <x v="1"/>
    <x v="16"/>
    <x v="1"/>
    <x v="2"/>
    <x v="4"/>
    <x v="26"/>
    <n v="6"/>
    <n v="104"/>
  </r>
  <r>
    <d v="2020-04-27T00:00:00"/>
    <x v="0"/>
    <x v="1"/>
    <x v="16"/>
    <x v="1"/>
    <x v="2"/>
    <x v="4"/>
    <x v="27"/>
    <n v="1"/>
    <n v="116"/>
  </r>
  <r>
    <d v="2020-04-29T00:00:00"/>
    <x v="0"/>
    <x v="1"/>
    <x v="17"/>
    <x v="1"/>
    <x v="1"/>
    <x v="9"/>
    <x v="28"/>
    <n v="5"/>
    <n v="1800"/>
  </r>
  <r>
    <d v="2020-04-29T00:00:00"/>
    <x v="0"/>
    <x v="1"/>
    <x v="17"/>
    <x v="1"/>
    <x v="2"/>
    <x v="8"/>
    <x v="29"/>
    <n v="10"/>
    <n v="1274"/>
  </r>
  <r>
    <d v="2020-04-29T00:00:00"/>
    <x v="0"/>
    <x v="1"/>
    <x v="18"/>
    <x v="1"/>
    <x v="0"/>
    <x v="0"/>
    <x v="30"/>
    <n v="15"/>
    <n v="1335"/>
  </r>
  <r>
    <d v="2020-05-02T00:00:00"/>
    <x v="0"/>
    <x v="2"/>
    <x v="19"/>
    <x v="3"/>
    <x v="0"/>
    <x v="0"/>
    <x v="31"/>
    <n v="16"/>
    <n v="1706"/>
  </r>
  <r>
    <d v="2020-05-02T00:00:00"/>
    <x v="0"/>
    <x v="2"/>
    <x v="19"/>
    <x v="3"/>
    <x v="1"/>
    <x v="9"/>
    <x v="32"/>
    <n v="20"/>
    <n v="2763"/>
  </r>
  <r>
    <d v="2020-05-02T00:00:00"/>
    <x v="0"/>
    <x v="2"/>
    <x v="19"/>
    <x v="3"/>
    <x v="0"/>
    <x v="2"/>
    <x v="33"/>
    <n v="6"/>
    <n v="64"/>
  </r>
  <r>
    <d v="2020-05-02T00:00:00"/>
    <x v="0"/>
    <x v="2"/>
    <x v="20"/>
    <x v="4"/>
    <x v="0"/>
    <x v="11"/>
    <x v="34"/>
    <n v="8"/>
    <n v="749"/>
  </r>
  <r>
    <d v="2020-05-04T00:00:00"/>
    <x v="0"/>
    <x v="2"/>
    <x v="21"/>
    <x v="2"/>
    <x v="1"/>
    <x v="9"/>
    <x v="35"/>
    <n v="1"/>
    <n v="2812"/>
  </r>
  <r>
    <d v="2020-05-04T00:00:00"/>
    <x v="0"/>
    <x v="2"/>
    <x v="21"/>
    <x v="2"/>
    <x v="2"/>
    <x v="3"/>
    <x v="36"/>
    <n v="15"/>
    <n v="1046"/>
  </r>
  <r>
    <d v="2020-05-04T00:00:00"/>
    <x v="0"/>
    <x v="2"/>
    <x v="21"/>
    <x v="2"/>
    <x v="2"/>
    <x v="8"/>
    <x v="37"/>
    <n v="9"/>
    <n v="78"/>
  </r>
  <r>
    <d v="2020-05-04T00:00:00"/>
    <x v="0"/>
    <x v="2"/>
    <x v="22"/>
    <x v="4"/>
    <x v="0"/>
    <x v="5"/>
    <x v="38"/>
    <n v="4"/>
    <n v="804"/>
  </r>
  <r>
    <d v="2020-05-04T00:00:00"/>
    <x v="0"/>
    <x v="2"/>
    <x v="23"/>
    <x v="2"/>
    <x v="1"/>
    <x v="6"/>
    <x v="39"/>
    <n v="13"/>
    <n v="1553"/>
  </r>
  <r>
    <d v="2020-05-04T00:00:00"/>
    <x v="0"/>
    <x v="2"/>
    <x v="24"/>
    <x v="1"/>
    <x v="0"/>
    <x v="2"/>
    <x v="40"/>
    <n v="9"/>
    <n v="76"/>
  </r>
  <r>
    <d v="2020-05-04T00:00:00"/>
    <x v="0"/>
    <x v="2"/>
    <x v="24"/>
    <x v="1"/>
    <x v="2"/>
    <x v="3"/>
    <x v="41"/>
    <n v="12"/>
    <n v="3374"/>
  </r>
  <r>
    <d v="2020-05-11T00:00:00"/>
    <x v="0"/>
    <x v="2"/>
    <x v="25"/>
    <x v="4"/>
    <x v="0"/>
    <x v="0"/>
    <x v="42"/>
    <n v="2"/>
    <n v="713"/>
  </r>
  <r>
    <d v="2020-05-13T00:00:00"/>
    <x v="0"/>
    <x v="2"/>
    <x v="26"/>
    <x v="4"/>
    <x v="2"/>
    <x v="3"/>
    <x v="43"/>
    <n v="12"/>
    <n v="867"/>
  </r>
  <r>
    <d v="2020-05-14T00:00:00"/>
    <x v="0"/>
    <x v="2"/>
    <x v="27"/>
    <x v="2"/>
    <x v="1"/>
    <x v="6"/>
    <x v="44"/>
    <n v="10"/>
    <n v="1581"/>
  </r>
  <r>
    <d v="2020-05-14T00:00:00"/>
    <x v="0"/>
    <x v="2"/>
    <x v="27"/>
    <x v="2"/>
    <x v="2"/>
    <x v="8"/>
    <x v="45"/>
    <n v="11"/>
    <n v="349"/>
  </r>
  <r>
    <d v="2020-05-17T00:00:00"/>
    <x v="0"/>
    <x v="2"/>
    <x v="28"/>
    <x v="2"/>
    <x v="2"/>
    <x v="3"/>
    <x v="46"/>
    <n v="17"/>
    <n v="586"/>
  </r>
  <r>
    <d v="2020-05-22T00:00:00"/>
    <x v="0"/>
    <x v="2"/>
    <x v="29"/>
    <x v="5"/>
    <x v="1"/>
    <x v="9"/>
    <x v="47"/>
    <n v="18"/>
    <n v="699"/>
  </r>
  <r>
    <d v="2020-05-23T00:00:00"/>
    <x v="0"/>
    <x v="2"/>
    <x v="30"/>
    <x v="5"/>
    <x v="1"/>
    <x v="1"/>
    <x v="17"/>
    <n v="7"/>
    <n v="562"/>
  </r>
  <r>
    <d v="2020-05-23T00:00:00"/>
    <x v="0"/>
    <x v="2"/>
    <x v="30"/>
    <x v="5"/>
    <x v="0"/>
    <x v="2"/>
    <x v="18"/>
    <n v="10"/>
    <n v="661"/>
  </r>
  <r>
    <d v="2020-05-24T00:00:00"/>
    <x v="0"/>
    <x v="2"/>
    <x v="31"/>
    <x v="3"/>
    <x v="0"/>
    <x v="11"/>
    <x v="48"/>
    <n v="9"/>
    <n v="602"/>
  </r>
  <r>
    <d v="2020-05-24T00:00:00"/>
    <x v="0"/>
    <x v="2"/>
    <x v="31"/>
    <x v="3"/>
    <x v="2"/>
    <x v="4"/>
    <x v="49"/>
    <n v="19"/>
    <n v="1849"/>
  </r>
  <r>
    <d v="2020-05-24T00:00:00"/>
    <x v="0"/>
    <x v="2"/>
    <x v="32"/>
    <x v="1"/>
    <x v="1"/>
    <x v="1"/>
    <x v="50"/>
    <n v="1"/>
    <n v="800"/>
  </r>
  <r>
    <d v="2020-06-02T00:00:00"/>
    <x v="0"/>
    <x v="3"/>
    <x v="33"/>
    <x v="1"/>
    <x v="0"/>
    <x v="2"/>
    <x v="51"/>
    <n v="8"/>
    <n v="642"/>
  </r>
  <r>
    <d v="2020-06-07T00:00:00"/>
    <x v="0"/>
    <x v="3"/>
    <x v="34"/>
    <x v="1"/>
    <x v="2"/>
    <x v="3"/>
    <x v="52"/>
    <n v="7"/>
    <n v="1214"/>
  </r>
  <r>
    <d v="2020-06-16T00:00:00"/>
    <x v="0"/>
    <x v="3"/>
    <x v="35"/>
    <x v="1"/>
    <x v="0"/>
    <x v="11"/>
    <x v="53"/>
    <n v="20"/>
    <n v="214"/>
  </r>
  <r>
    <d v="2020-06-17T00:00:00"/>
    <x v="0"/>
    <x v="3"/>
    <x v="36"/>
    <x v="5"/>
    <x v="1"/>
    <x v="9"/>
    <x v="54"/>
    <n v="16"/>
    <n v="3033"/>
  </r>
  <r>
    <d v="2020-06-21T00:00:00"/>
    <x v="0"/>
    <x v="3"/>
    <x v="37"/>
    <x v="5"/>
    <x v="0"/>
    <x v="2"/>
    <x v="55"/>
    <n v="15"/>
    <n v="1481"/>
  </r>
  <r>
    <d v="2020-06-21T00:00:00"/>
    <x v="0"/>
    <x v="3"/>
    <x v="38"/>
    <x v="5"/>
    <x v="0"/>
    <x v="5"/>
    <x v="56"/>
    <n v="5"/>
    <n v="211"/>
  </r>
  <r>
    <d v="2020-06-23T00:00:00"/>
    <x v="0"/>
    <x v="3"/>
    <x v="39"/>
    <x v="1"/>
    <x v="2"/>
    <x v="3"/>
    <x v="57"/>
    <n v="12"/>
    <n v="1157"/>
  </r>
  <r>
    <d v="2020-06-23T00:00:00"/>
    <x v="0"/>
    <x v="3"/>
    <x v="40"/>
    <x v="0"/>
    <x v="2"/>
    <x v="3"/>
    <x v="58"/>
    <n v="4"/>
    <n v="1202"/>
  </r>
  <r>
    <d v="2020-06-24T00:00:00"/>
    <x v="0"/>
    <x v="3"/>
    <x v="41"/>
    <x v="2"/>
    <x v="2"/>
    <x v="8"/>
    <x v="59"/>
    <n v="16"/>
    <n v="158"/>
  </r>
  <r>
    <d v="2020-06-24T00:00:00"/>
    <x v="0"/>
    <x v="3"/>
    <x v="41"/>
    <x v="2"/>
    <x v="2"/>
    <x v="3"/>
    <x v="60"/>
    <n v="17"/>
    <n v="177"/>
  </r>
  <r>
    <d v="2020-07-04T00:00:00"/>
    <x v="0"/>
    <x v="4"/>
    <x v="42"/>
    <x v="1"/>
    <x v="1"/>
    <x v="1"/>
    <x v="61"/>
    <n v="4"/>
    <n v="285"/>
  </r>
  <r>
    <d v="2020-07-04T00:00:00"/>
    <x v="0"/>
    <x v="4"/>
    <x v="43"/>
    <x v="3"/>
    <x v="1"/>
    <x v="1"/>
    <x v="62"/>
    <n v="8"/>
    <n v="287"/>
  </r>
  <r>
    <d v="2020-07-06T00:00:00"/>
    <x v="0"/>
    <x v="4"/>
    <x v="44"/>
    <x v="3"/>
    <x v="1"/>
    <x v="9"/>
    <x v="63"/>
    <n v="5"/>
    <n v="4507"/>
  </r>
  <r>
    <d v="2020-07-09T00:00:00"/>
    <x v="0"/>
    <x v="4"/>
    <x v="45"/>
    <x v="0"/>
    <x v="0"/>
    <x v="5"/>
    <x v="38"/>
    <n v="4"/>
    <n v="804"/>
  </r>
  <r>
    <d v="2020-07-12T00:00:00"/>
    <x v="0"/>
    <x v="4"/>
    <x v="46"/>
    <x v="0"/>
    <x v="1"/>
    <x v="9"/>
    <x v="64"/>
    <n v="5"/>
    <n v="410"/>
  </r>
  <r>
    <d v="2020-07-12T00:00:00"/>
    <x v="0"/>
    <x v="4"/>
    <x v="46"/>
    <x v="0"/>
    <x v="1"/>
    <x v="10"/>
    <x v="65"/>
    <n v="4"/>
    <n v="534"/>
  </r>
  <r>
    <d v="2020-07-13T00:00:00"/>
    <x v="0"/>
    <x v="4"/>
    <x v="47"/>
    <x v="0"/>
    <x v="1"/>
    <x v="1"/>
    <x v="66"/>
    <n v="4"/>
    <n v="1159"/>
  </r>
  <r>
    <d v="2020-07-16T00:00:00"/>
    <x v="0"/>
    <x v="4"/>
    <x v="48"/>
    <x v="2"/>
    <x v="1"/>
    <x v="1"/>
    <x v="67"/>
    <n v="20"/>
    <n v="3218"/>
  </r>
  <r>
    <d v="2020-07-25T00:00:00"/>
    <x v="0"/>
    <x v="4"/>
    <x v="49"/>
    <x v="4"/>
    <x v="0"/>
    <x v="5"/>
    <x v="38"/>
    <n v="4"/>
    <n v="804"/>
  </r>
  <r>
    <d v="2020-08-05T00:00:00"/>
    <x v="0"/>
    <x v="5"/>
    <x v="50"/>
    <x v="1"/>
    <x v="2"/>
    <x v="3"/>
    <x v="68"/>
    <n v="1"/>
    <n v="3043"/>
  </r>
  <r>
    <d v="2020-08-07T00:00:00"/>
    <x v="0"/>
    <x v="5"/>
    <x v="51"/>
    <x v="1"/>
    <x v="0"/>
    <x v="2"/>
    <x v="51"/>
    <n v="8"/>
    <n v="642"/>
  </r>
  <r>
    <d v="2020-08-09T00:00:00"/>
    <x v="0"/>
    <x v="5"/>
    <x v="52"/>
    <x v="2"/>
    <x v="1"/>
    <x v="10"/>
    <x v="69"/>
    <n v="12"/>
    <n v="59"/>
  </r>
  <r>
    <d v="2020-08-10T00:00:00"/>
    <x v="0"/>
    <x v="5"/>
    <x v="53"/>
    <x v="0"/>
    <x v="2"/>
    <x v="3"/>
    <x v="70"/>
    <n v="8"/>
    <n v="3865"/>
  </r>
  <r>
    <d v="2020-08-10T00:00:00"/>
    <x v="0"/>
    <x v="5"/>
    <x v="54"/>
    <x v="3"/>
    <x v="1"/>
    <x v="6"/>
    <x v="71"/>
    <n v="7"/>
    <n v="4585"/>
  </r>
  <r>
    <d v="2020-08-11T00:00:00"/>
    <x v="0"/>
    <x v="5"/>
    <x v="55"/>
    <x v="3"/>
    <x v="0"/>
    <x v="0"/>
    <x v="72"/>
    <n v="3"/>
    <n v="96"/>
  </r>
  <r>
    <d v="2020-08-16T00:00:00"/>
    <x v="0"/>
    <x v="5"/>
    <x v="56"/>
    <x v="5"/>
    <x v="2"/>
    <x v="3"/>
    <x v="73"/>
    <n v="1"/>
    <n v="196"/>
  </r>
  <r>
    <d v="2020-08-18T00:00:00"/>
    <x v="0"/>
    <x v="5"/>
    <x v="57"/>
    <x v="5"/>
    <x v="2"/>
    <x v="4"/>
    <x v="74"/>
    <n v="4"/>
    <n v="2873"/>
  </r>
  <r>
    <d v="2020-08-19T00:00:00"/>
    <x v="0"/>
    <x v="5"/>
    <x v="58"/>
    <x v="5"/>
    <x v="1"/>
    <x v="9"/>
    <x v="75"/>
    <n v="20"/>
    <n v="2555"/>
  </r>
  <r>
    <d v="2020-08-21T00:00:00"/>
    <x v="0"/>
    <x v="5"/>
    <x v="59"/>
    <x v="4"/>
    <x v="0"/>
    <x v="2"/>
    <x v="76"/>
    <n v="1"/>
    <n v="1176"/>
  </r>
  <r>
    <d v="2020-08-21T00:00:00"/>
    <x v="0"/>
    <x v="5"/>
    <x v="59"/>
    <x v="4"/>
    <x v="2"/>
    <x v="8"/>
    <x v="77"/>
    <n v="5"/>
    <n v="1125"/>
  </r>
  <r>
    <d v="2020-08-21T00:00:00"/>
    <x v="0"/>
    <x v="5"/>
    <x v="59"/>
    <x v="4"/>
    <x v="0"/>
    <x v="5"/>
    <x v="78"/>
    <n v="14"/>
    <n v="253"/>
  </r>
  <r>
    <d v="2020-08-21T00:00:00"/>
    <x v="0"/>
    <x v="5"/>
    <x v="59"/>
    <x v="4"/>
    <x v="2"/>
    <x v="3"/>
    <x v="79"/>
    <n v="5"/>
    <n v="1239"/>
  </r>
  <r>
    <d v="2020-08-24T00:00:00"/>
    <x v="0"/>
    <x v="5"/>
    <x v="60"/>
    <x v="0"/>
    <x v="1"/>
    <x v="6"/>
    <x v="80"/>
    <n v="4"/>
    <n v="4477"/>
  </r>
  <r>
    <d v="2020-08-27T00:00:00"/>
    <x v="0"/>
    <x v="5"/>
    <x v="61"/>
    <x v="2"/>
    <x v="2"/>
    <x v="7"/>
    <x v="81"/>
    <n v="3"/>
    <n v="1386"/>
  </r>
  <r>
    <d v="2020-08-28T00:00:00"/>
    <x v="0"/>
    <x v="5"/>
    <x v="62"/>
    <x v="1"/>
    <x v="2"/>
    <x v="7"/>
    <x v="82"/>
    <n v="5"/>
    <n v="254"/>
  </r>
  <r>
    <d v="2020-09-01T00:00:00"/>
    <x v="0"/>
    <x v="6"/>
    <x v="63"/>
    <x v="1"/>
    <x v="1"/>
    <x v="1"/>
    <x v="83"/>
    <n v="9"/>
    <n v="2458"/>
  </r>
  <r>
    <d v="2020-09-04T00:00:00"/>
    <x v="0"/>
    <x v="6"/>
    <x v="64"/>
    <x v="0"/>
    <x v="0"/>
    <x v="5"/>
    <x v="84"/>
    <n v="10"/>
    <n v="1693"/>
  </r>
  <r>
    <d v="2020-09-08T00:00:00"/>
    <x v="0"/>
    <x v="6"/>
    <x v="65"/>
    <x v="0"/>
    <x v="1"/>
    <x v="6"/>
    <x v="85"/>
    <n v="20"/>
    <n v="921"/>
  </r>
  <r>
    <d v="2020-09-08T00:00:00"/>
    <x v="0"/>
    <x v="6"/>
    <x v="66"/>
    <x v="1"/>
    <x v="2"/>
    <x v="4"/>
    <x v="86"/>
    <n v="15"/>
    <n v="1751"/>
  </r>
  <r>
    <d v="2020-09-09T00:00:00"/>
    <x v="0"/>
    <x v="6"/>
    <x v="67"/>
    <x v="3"/>
    <x v="0"/>
    <x v="11"/>
    <x v="87"/>
    <n v="15"/>
    <n v="1554"/>
  </r>
  <r>
    <d v="2020-09-10T00:00:00"/>
    <x v="0"/>
    <x v="6"/>
    <x v="68"/>
    <x v="5"/>
    <x v="2"/>
    <x v="7"/>
    <x v="88"/>
    <n v="3"/>
    <n v="1051"/>
  </r>
  <r>
    <d v="2020-09-10T00:00:00"/>
    <x v="0"/>
    <x v="6"/>
    <x v="68"/>
    <x v="5"/>
    <x v="0"/>
    <x v="11"/>
    <x v="89"/>
    <n v="8"/>
    <n v="1874"/>
  </r>
  <r>
    <d v="2020-09-12T00:00:00"/>
    <x v="0"/>
    <x v="6"/>
    <x v="69"/>
    <x v="1"/>
    <x v="2"/>
    <x v="4"/>
    <x v="90"/>
    <n v="13"/>
    <n v="4208"/>
  </r>
  <r>
    <d v="2020-09-12T00:00:00"/>
    <x v="0"/>
    <x v="6"/>
    <x v="69"/>
    <x v="1"/>
    <x v="2"/>
    <x v="3"/>
    <x v="91"/>
    <n v="15"/>
    <n v="240"/>
  </r>
  <r>
    <d v="2020-09-15T00:00:00"/>
    <x v="0"/>
    <x v="6"/>
    <x v="70"/>
    <x v="5"/>
    <x v="1"/>
    <x v="1"/>
    <x v="92"/>
    <n v="17"/>
    <n v="258"/>
  </r>
  <r>
    <d v="2020-09-15T00:00:00"/>
    <x v="0"/>
    <x v="6"/>
    <x v="70"/>
    <x v="5"/>
    <x v="1"/>
    <x v="10"/>
    <x v="93"/>
    <n v="17"/>
    <n v="318"/>
  </r>
  <r>
    <d v="2020-09-15T00:00:00"/>
    <x v="0"/>
    <x v="6"/>
    <x v="70"/>
    <x v="5"/>
    <x v="2"/>
    <x v="3"/>
    <x v="94"/>
    <n v="11"/>
    <n v="961"/>
  </r>
  <r>
    <d v="2020-09-21T00:00:00"/>
    <x v="0"/>
    <x v="6"/>
    <x v="71"/>
    <x v="3"/>
    <x v="0"/>
    <x v="2"/>
    <x v="95"/>
    <n v="13"/>
    <n v="2052"/>
  </r>
  <r>
    <d v="2020-09-21T00:00:00"/>
    <x v="0"/>
    <x v="6"/>
    <x v="72"/>
    <x v="5"/>
    <x v="2"/>
    <x v="3"/>
    <x v="96"/>
    <n v="16"/>
    <n v="1405"/>
  </r>
  <r>
    <d v="2020-09-21T00:00:00"/>
    <x v="0"/>
    <x v="6"/>
    <x v="72"/>
    <x v="5"/>
    <x v="0"/>
    <x v="11"/>
    <x v="97"/>
    <n v="1"/>
    <n v="384"/>
  </r>
  <r>
    <d v="2020-09-26T00:00:00"/>
    <x v="0"/>
    <x v="6"/>
    <x v="73"/>
    <x v="5"/>
    <x v="0"/>
    <x v="5"/>
    <x v="98"/>
    <n v="19"/>
    <n v="159"/>
  </r>
  <r>
    <d v="2020-09-26T00:00:00"/>
    <x v="0"/>
    <x v="6"/>
    <x v="74"/>
    <x v="2"/>
    <x v="2"/>
    <x v="8"/>
    <x v="99"/>
    <n v="7"/>
    <n v="3962"/>
  </r>
  <r>
    <d v="2020-09-30T00:00:00"/>
    <x v="0"/>
    <x v="6"/>
    <x v="75"/>
    <x v="1"/>
    <x v="0"/>
    <x v="11"/>
    <x v="100"/>
    <n v="13"/>
    <n v="2631"/>
  </r>
  <r>
    <d v="2020-09-30T00:00:00"/>
    <x v="0"/>
    <x v="6"/>
    <x v="76"/>
    <x v="5"/>
    <x v="1"/>
    <x v="6"/>
    <x v="101"/>
    <n v="4"/>
    <n v="970"/>
  </r>
  <r>
    <d v="2020-09-30T00:00:00"/>
    <x v="0"/>
    <x v="6"/>
    <x v="76"/>
    <x v="5"/>
    <x v="0"/>
    <x v="11"/>
    <x v="102"/>
    <n v="1"/>
    <n v="1026"/>
  </r>
  <r>
    <d v="2020-10-01T00:00:00"/>
    <x v="0"/>
    <x v="7"/>
    <x v="77"/>
    <x v="0"/>
    <x v="0"/>
    <x v="2"/>
    <x v="103"/>
    <n v="3"/>
    <n v="309"/>
  </r>
  <r>
    <d v="2020-10-02T00:00:00"/>
    <x v="0"/>
    <x v="7"/>
    <x v="78"/>
    <x v="0"/>
    <x v="2"/>
    <x v="3"/>
    <x v="57"/>
    <n v="12"/>
    <n v="1157"/>
  </r>
  <r>
    <d v="2020-10-02T00:00:00"/>
    <x v="0"/>
    <x v="7"/>
    <x v="79"/>
    <x v="1"/>
    <x v="2"/>
    <x v="7"/>
    <x v="104"/>
    <n v="12"/>
    <n v="638"/>
  </r>
  <r>
    <d v="2020-10-02T00:00:00"/>
    <x v="0"/>
    <x v="7"/>
    <x v="79"/>
    <x v="1"/>
    <x v="2"/>
    <x v="4"/>
    <x v="105"/>
    <n v="12"/>
    <n v="1289"/>
  </r>
  <r>
    <d v="2020-10-08T00:00:00"/>
    <x v="0"/>
    <x v="7"/>
    <x v="80"/>
    <x v="1"/>
    <x v="1"/>
    <x v="1"/>
    <x v="106"/>
    <n v="3"/>
    <n v="250"/>
  </r>
  <r>
    <d v="2020-10-08T00:00:00"/>
    <x v="0"/>
    <x v="7"/>
    <x v="80"/>
    <x v="1"/>
    <x v="0"/>
    <x v="11"/>
    <x v="107"/>
    <n v="10"/>
    <n v="340"/>
  </r>
  <r>
    <d v="2020-10-11T00:00:00"/>
    <x v="0"/>
    <x v="7"/>
    <x v="81"/>
    <x v="3"/>
    <x v="0"/>
    <x v="11"/>
    <x v="108"/>
    <n v="6"/>
    <n v="126"/>
  </r>
  <r>
    <d v="2020-10-15T00:00:00"/>
    <x v="0"/>
    <x v="7"/>
    <x v="82"/>
    <x v="0"/>
    <x v="2"/>
    <x v="7"/>
    <x v="109"/>
    <n v="3"/>
    <n v="300"/>
  </r>
  <r>
    <d v="2020-10-17T00:00:00"/>
    <x v="0"/>
    <x v="7"/>
    <x v="83"/>
    <x v="1"/>
    <x v="1"/>
    <x v="10"/>
    <x v="110"/>
    <n v="8"/>
    <n v="2632"/>
  </r>
  <r>
    <d v="2020-10-17T00:00:00"/>
    <x v="0"/>
    <x v="7"/>
    <x v="83"/>
    <x v="1"/>
    <x v="0"/>
    <x v="2"/>
    <x v="111"/>
    <n v="17"/>
    <n v="205"/>
  </r>
  <r>
    <d v="2020-10-20T00:00:00"/>
    <x v="0"/>
    <x v="7"/>
    <x v="84"/>
    <x v="1"/>
    <x v="1"/>
    <x v="6"/>
    <x v="112"/>
    <n v="16"/>
    <n v="4812"/>
  </r>
  <r>
    <d v="2020-10-20T00:00:00"/>
    <x v="0"/>
    <x v="7"/>
    <x v="84"/>
    <x v="1"/>
    <x v="1"/>
    <x v="6"/>
    <x v="113"/>
    <n v="7"/>
    <n v="1185"/>
  </r>
  <r>
    <d v="2020-10-20T00:00:00"/>
    <x v="0"/>
    <x v="7"/>
    <x v="85"/>
    <x v="1"/>
    <x v="1"/>
    <x v="1"/>
    <x v="2"/>
    <n v="6"/>
    <n v="2382"/>
  </r>
  <r>
    <d v="2020-10-20T00:00:00"/>
    <x v="0"/>
    <x v="7"/>
    <x v="85"/>
    <x v="1"/>
    <x v="0"/>
    <x v="2"/>
    <x v="3"/>
    <n v="6"/>
    <n v="904"/>
  </r>
  <r>
    <d v="2020-10-21T00:00:00"/>
    <x v="0"/>
    <x v="7"/>
    <x v="86"/>
    <x v="5"/>
    <x v="1"/>
    <x v="1"/>
    <x v="114"/>
    <n v="7"/>
    <n v="362"/>
  </r>
  <r>
    <d v="2020-10-21T00:00:00"/>
    <x v="0"/>
    <x v="7"/>
    <x v="86"/>
    <x v="5"/>
    <x v="2"/>
    <x v="3"/>
    <x v="115"/>
    <n v="20"/>
    <n v="302"/>
  </r>
  <r>
    <d v="2020-10-21T00:00:00"/>
    <x v="0"/>
    <x v="7"/>
    <x v="86"/>
    <x v="5"/>
    <x v="2"/>
    <x v="4"/>
    <x v="116"/>
    <n v="12"/>
    <n v="677"/>
  </r>
  <r>
    <d v="2020-10-21T00:00:00"/>
    <x v="0"/>
    <x v="7"/>
    <x v="87"/>
    <x v="3"/>
    <x v="2"/>
    <x v="7"/>
    <x v="117"/>
    <n v="13"/>
    <n v="201"/>
  </r>
  <r>
    <d v="2020-10-21T00:00:00"/>
    <x v="0"/>
    <x v="7"/>
    <x v="88"/>
    <x v="2"/>
    <x v="2"/>
    <x v="7"/>
    <x v="118"/>
    <n v="18"/>
    <n v="231"/>
  </r>
  <r>
    <d v="2020-10-23T00:00:00"/>
    <x v="0"/>
    <x v="7"/>
    <x v="89"/>
    <x v="5"/>
    <x v="2"/>
    <x v="4"/>
    <x v="119"/>
    <n v="4"/>
    <n v="1414"/>
  </r>
  <r>
    <d v="2020-10-23T00:00:00"/>
    <x v="0"/>
    <x v="7"/>
    <x v="89"/>
    <x v="5"/>
    <x v="0"/>
    <x v="5"/>
    <x v="120"/>
    <n v="18"/>
    <n v="440"/>
  </r>
  <r>
    <d v="2020-10-23T00:00:00"/>
    <x v="0"/>
    <x v="7"/>
    <x v="89"/>
    <x v="5"/>
    <x v="0"/>
    <x v="2"/>
    <x v="121"/>
    <n v="16"/>
    <n v="138"/>
  </r>
  <r>
    <d v="2020-10-26T00:00:00"/>
    <x v="0"/>
    <x v="7"/>
    <x v="90"/>
    <x v="4"/>
    <x v="1"/>
    <x v="9"/>
    <x v="122"/>
    <n v="16"/>
    <n v="176"/>
  </r>
  <r>
    <d v="2020-10-27T00:00:00"/>
    <x v="0"/>
    <x v="7"/>
    <x v="91"/>
    <x v="5"/>
    <x v="2"/>
    <x v="8"/>
    <x v="123"/>
    <n v="8"/>
    <n v="2041"/>
  </r>
  <r>
    <d v="2020-10-27T00:00:00"/>
    <x v="0"/>
    <x v="7"/>
    <x v="91"/>
    <x v="5"/>
    <x v="0"/>
    <x v="5"/>
    <x v="124"/>
    <n v="10"/>
    <n v="1834"/>
  </r>
  <r>
    <d v="2020-10-28T00:00:00"/>
    <x v="0"/>
    <x v="7"/>
    <x v="92"/>
    <x v="0"/>
    <x v="1"/>
    <x v="1"/>
    <x v="125"/>
    <n v="20"/>
    <n v="431"/>
  </r>
  <r>
    <d v="2020-11-03T00:00:00"/>
    <x v="0"/>
    <x v="8"/>
    <x v="93"/>
    <x v="0"/>
    <x v="1"/>
    <x v="6"/>
    <x v="126"/>
    <n v="20"/>
    <n v="1989"/>
  </r>
  <r>
    <d v="2020-11-06T00:00:00"/>
    <x v="0"/>
    <x v="8"/>
    <x v="94"/>
    <x v="2"/>
    <x v="2"/>
    <x v="8"/>
    <x v="59"/>
    <n v="16"/>
    <n v="158"/>
  </r>
  <r>
    <d v="2020-11-06T00:00:00"/>
    <x v="0"/>
    <x v="8"/>
    <x v="94"/>
    <x v="2"/>
    <x v="2"/>
    <x v="3"/>
    <x v="60"/>
    <n v="17"/>
    <n v="177"/>
  </r>
  <r>
    <d v="2020-11-09T00:00:00"/>
    <x v="0"/>
    <x v="8"/>
    <x v="95"/>
    <x v="2"/>
    <x v="0"/>
    <x v="0"/>
    <x v="127"/>
    <n v="10"/>
    <n v="936"/>
  </r>
  <r>
    <d v="2020-11-10T00:00:00"/>
    <x v="0"/>
    <x v="8"/>
    <x v="96"/>
    <x v="0"/>
    <x v="2"/>
    <x v="4"/>
    <x v="128"/>
    <n v="2"/>
    <n v="2332"/>
  </r>
  <r>
    <d v="2020-11-10T00:00:00"/>
    <x v="0"/>
    <x v="8"/>
    <x v="97"/>
    <x v="0"/>
    <x v="0"/>
    <x v="0"/>
    <x v="129"/>
    <n v="3"/>
    <n v="615"/>
  </r>
  <r>
    <d v="2020-11-10T00:00:00"/>
    <x v="0"/>
    <x v="8"/>
    <x v="97"/>
    <x v="0"/>
    <x v="2"/>
    <x v="4"/>
    <x v="130"/>
    <n v="5"/>
    <n v="1134"/>
  </r>
  <r>
    <d v="2020-11-16T00:00:00"/>
    <x v="0"/>
    <x v="8"/>
    <x v="98"/>
    <x v="1"/>
    <x v="2"/>
    <x v="8"/>
    <x v="131"/>
    <n v="20"/>
    <n v="172"/>
  </r>
  <r>
    <d v="2020-11-16T00:00:00"/>
    <x v="0"/>
    <x v="8"/>
    <x v="98"/>
    <x v="1"/>
    <x v="2"/>
    <x v="8"/>
    <x v="132"/>
    <n v="14"/>
    <n v="2059"/>
  </r>
  <r>
    <d v="2020-11-16T00:00:00"/>
    <x v="0"/>
    <x v="8"/>
    <x v="98"/>
    <x v="1"/>
    <x v="2"/>
    <x v="8"/>
    <x v="133"/>
    <n v="3"/>
    <n v="151"/>
  </r>
  <r>
    <d v="2020-11-19T00:00:00"/>
    <x v="0"/>
    <x v="8"/>
    <x v="99"/>
    <x v="2"/>
    <x v="1"/>
    <x v="6"/>
    <x v="134"/>
    <n v="2"/>
    <n v="2444"/>
  </r>
  <r>
    <d v="2020-11-21T00:00:00"/>
    <x v="0"/>
    <x v="8"/>
    <x v="100"/>
    <x v="0"/>
    <x v="1"/>
    <x v="6"/>
    <x v="135"/>
    <n v="5"/>
    <n v="3463"/>
  </r>
  <r>
    <d v="2020-11-21T00:00:00"/>
    <x v="0"/>
    <x v="8"/>
    <x v="100"/>
    <x v="0"/>
    <x v="0"/>
    <x v="0"/>
    <x v="136"/>
    <n v="20"/>
    <n v="1605"/>
  </r>
  <r>
    <d v="2020-11-23T00:00:00"/>
    <x v="0"/>
    <x v="8"/>
    <x v="101"/>
    <x v="1"/>
    <x v="1"/>
    <x v="1"/>
    <x v="137"/>
    <n v="13"/>
    <n v="2459"/>
  </r>
  <r>
    <d v="2020-11-25T00:00:00"/>
    <x v="0"/>
    <x v="8"/>
    <x v="102"/>
    <x v="3"/>
    <x v="1"/>
    <x v="1"/>
    <x v="36"/>
    <n v="5"/>
    <n v="229"/>
  </r>
  <r>
    <d v="2020-11-27T00:00:00"/>
    <x v="0"/>
    <x v="8"/>
    <x v="103"/>
    <x v="0"/>
    <x v="0"/>
    <x v="2"/>
    <x v="138"/>
    <n v="14"/>
    <n v="2045"/>
  </r>
  <r>
    <d v="2020-11-28T00:00:00"/>
    <x v="0"/>
    <x v="8"/>
    <x v="104"/>
    <x v="5"/>
    <x v="1"/>
    <x v="10"/>
    <x v="139"/>
    <n v="19"/>
    <n v="2971"/>
  </r>
  <r>
    <d v="2020-11-28T00:00:00"/>
    <x v="0"/>
    <x v="8"/>
    <x v="104"/>
    <x v="5"/>
    <x v="1"/>
    <x v="10"/>
    <x v="140"/>
    <n v="20"/>
    <n v="894"/>
  </r>
  <r>
    <d v="2020-11-29T00:00:00"/>
    <x v="0"/>
    <x v="8"/>
    <x v="105"/>
    <x v="4"/>
    <x v="0"/>
    <x v="5"/>
    <x v="141"/>
    <n v="18"/>
    <n v="1591"/>
  </r>
  <r>
    <d v="2020-11-30T00:00:00"/>
    <x v="0"/>
    <x v="8"/>
    <x v="106"/>
    <x v="5"/>
    <x v="2"/>
    <x v="4"/>
    <x v="142"/>
    <n v="14"/>
    <n v="552"/>
  </r>
  <r>
    <d v="2020-11-30T00:00:00"/>
    <x v="0"/>
    <x v="8"/>
    <x v="106"/>
    <x v="5"/>
    <x v="1"/>
    <x v="6"/>
    <x v="143"/>
    <n v="19"/>
    <n v="1003"/>
  </r>
  <r>
    <d v="2020-12-05T00:00:00"/>
    <x v="0"/>
    <x v="9"/>
    <x v="107"/>
    <x v="1"/>
    <x v="2"/>
    <x v="4"/>
    <x v="144"/>
    <n v="2"/>
    <n v="342"/>
  </r>
  <r>
    <d v="2020-12-13T00:00:00"/>
    <x v="0"/>
    <x v="9"/>
    <x v="108"/>
    <x v="0"/>
    <x v="1"/>
    <x v="6"/>
    <x v="134"/>
    <n v="2"/>
    <n v="2444"/>
  </r>
  <r>
    <d v="2020-12-13T00:00:00"/>
    <x v="0"/>
    <x v="9"/>
    <x v="109"/>
    <x v="5"/>
    <x v="2"/>
    <x v="8"/>
    <x v="145"/>
    <n v="3"/>
    <n v="1330"/>
  </r>
  <r>
    <d v="2020-12-15T00:00:00"/>
    <x v="0"/>
    <x v="9"/>
    <x v="110"/>
    <x v="3"/>
    <x v="1"/>
    <x v="9"/>
    <x v="28"/>
    <n v="5"/>
    <n v="1800"/>
  </r>
  <r>
    <d v="2020-12-15T00:00:00"/>
    <x v="0"/>
    <x v="9"/>
    <x v="110"/>
    <x v="3"/>
    <x v="2"/>
    <x v="8"/>
    <x v="29"/>
    <n v="10"/>
    <n v="1274"/>
  </r>
  <r>
    <d v="2020-12-15T00:00:00"/>
    <x v="0"/>
    <x v="9"/>
    <x v="111"/>
    <x v="0"/>
    <x v="1"/>
    <x v="9"/>
    <x v="146"/>
    <n v="13"/>
    <n v="945"/>
  </r>
  <r>
    <d v="2020-12-16T00:00:00"/>
    <x v="0"/>
    <x v="9"/>
    <x v="112"/>
    <x v="1"/>
    <x v="1"/>
    <x v="10"/>
    <x v="147"/>
    <n v="6"/>
    <n v="1577"/>
  </r>
  <r>
    <d v="2020-12-17T00:00:00"/>
    <x v="0"/>
    <x v="9"/>
    <x v="113"/>
    <x v="3"/>
    <x v="2"/>
    <x v="7"/>
    <x v="148"/>
    <n v="13"/>
    <n v="177"/>
  </r>
  <r>
    <d v="2020-12-21T00:00:00"/>
    <x v="0"/>
    <x v="9"/>
    <x v="114"/>
    <x v="2"/>
    <x v="2"/>
    <x v="7"/>
    <x v="149"/>
    <n v="7"/>
    <n v="3826"/>
  </r>
  <r>
    <d v="2020-12-21T00:00:00"/>
    <x v="0"/>
    <x v="9"/>
    <x v="115"/>
    <x v="2"/>
    <x v="1"/>
    <x v="9"/>
    <x v="150"/>
    <n v="15"/>
    <n v="2677"/>
  </r>
  <r>
    <d v="2020-12-23T00:00:00"/>
    <x v="0"/>
    <x v="9"/>
    <x v="116"/>
    <x v="4"/>
    <x v="2"/>
    <x v="8"/>
    <x v="151"/>
    <n v="14"/>
    <n v="232"/>
  </r>
  <r>
    <d v="2020-12-24T00:00:00"/>
    <x v="0"/>
    <x v="9"/>
    <x v="117"/>
    <x v="2"/>
    <x v="1"/>
    <x v="9"/>
    <x v="152"/>
    <n v="3"/>
    <n v="3634"/>
  </r>
  <r>
    <d v="2020-12-27T00:00:00"/>
    <x v="0"/>
    <x v="9"/>
    <x v="118"/>
    <x v="3"/>
    <x v="2"/>
    <x v="8"/>
    <x v="153"/>
    <n v="9"/>
    <n v="1686"/>
  </r>
  <r>
    <d v="2020-12-31T00:00:00"/>
    <x v="0"/>
    <x v="9"/>
    <x v="119"/>
    <x v="3"/>
    <x v="2"/>
    <x v="8"/>
    <x v="154"/>
    <n v="19"/>
    <n v="139"/>
  </r>
  <r>
    <d v="2020-12-31T00:00:00"/>
    <x v="0"/>
    <x v="9"/>
    <x v="119"/>
    <x v="3"/>
    <x v="2"/>
    <x v="8"/>
    <x v="155"/>
    <n v="16"/>
    <n v="800"/>
  </r>
  <r>
    <d v="2020-12-31T00:00:00"/>
    <x v="0"/>
    <x v="9"/>
    <x v="119"/>
    <x v="3"/>
    <x v="1"/>
    <x v="6"/>
    <x v="156"/>
    <n v="9"/>
    <n v="1626"/>
  </r>
  <r>
    <d v="2021-01-03T00:00:00"/>
    <x v="1"/>
    <x v="10"/>
    <x v="120"/>
    <x v="5"/>
    <x v="1"/>
    <x v="1"/>
    <x v="157"/>
    <n v="8"/>
    <n v="400"/>
  </r>
  <r>
    <d v="2021-01-03T00:00:00"/>
    <x v="1"/>
    <x v="10"/>
    <x v="120"/>
    <x v="5"/>
    <x v="1"/>
    <x v="6"/>
    <x v="158"/>
    <n v="3"/>
    <n v="666"/>
  </r>
  <r>
    <d v="2021-01-03T00:00:00"/>
    <x v="1"/>
    <x v="10"/>
    <x v="121"/>
    <x v="1"/>
    <x v="0"/>
    <x v="2"/>
    <x v="159"/>
    <n v="8"/>
    <n v="509"/>
  </r>
  <r>
    <d v="2021-01-04T00:00:00"/>
    <x v="1"/>
    <x v="10"/>
    <x v="122"/>
    <x v="1"/>
    <x v="1"/>
    <x v="9"/>
    <x v="160"/>
    <n v="16"/>
    <n v="1354"/>
  </r>
  <r>
    <d v="2021-01-19T00:00:00"/>
    <x v="1"/>
    <x v="10"/>
    <x v="123"/>
    <x v="0"/>
    <x v="1"/>
    <x v="1"/>
    <x v="161"/>
    <n v="8"/>
    <n v="374"/>
  </r>
  <r>
    <d v="2021-01-19T00:00:00"/>
    <x v="1"/>
    <x v="10"/>
    <x v="123"/>
    <x v="0"/>
    <x v="0"/>
    <x v="11"/>
    <x v="162"/>
    <n v="1"/>
    <n v="1852"/>
  </r>
  <r>
    <d v="2021-01-21T00:00:00"/>
    <x v="1"/>
    <x v="10"/>
    <x v="124"/>
    <x v="3"/>
    <x v="1"/>
    <x v="9"/>
    <x v="163"/>
    <n v="11"/>
    <n v="271"/>
  </r>
  <r>
    <d v="2021-01-21T00:00:00"/>
    <x v="1"/>
    <x v="10"/>
    <x v="124"/>
    <x v="3"/>
    <x v="2"/>
    <x v="8"/>
    <x v="164"/>
    <n v="2"/>
    <n v="699"/>
  </r>
  <r>
    <d v="2021-01-30T00:00:00"/>
    <x v="1"/>
    <x v="10"/>
    <x v="125"/>
    <x v="5"/>
    <x v="0"/>
    <x v="0"/>
    <x v="165"/>
    <n v="5"/>
    <n v="324"/>
  </r>
  <r>
    <d v="2021-02-04T00:00:00"/>
    <x v="1"/>
    <x v="11"/>
    <x v="126"/>
    <x v="0"/>
    <x v="2"/>
    <x v="3"/>
    <x v="166"/>
    <n v="13"/>
    <n v="2211"/>
  </r>
  <r>
    <d v="2021-02-06T00:00:00"/>
    <x v="1"/>
    <x v="11"/>
    <x v="127"/>
    <x v="5"/>
    <x v="2"/>
    <x v="3"/>
    <x v="167"/>
    <n v="15"/>
    <n v="961"/>
  </r>
  <r>
    <d v="2021-02-09T00:00:00"/>
    <x v="1"/>
    <x v="11"/>
    <x v="128"/>
    <x v="4"/>
    <x v="0"/>
    <x v="11"/>
    <x v="168"/>
    <n v="14"/>
    <n v="894"/>
  </r>
  <r>
    <d v="2021-02-09T00:00:00"/>
    <x v="1"/>
    <x v="11"/>
    <x v="128"/>
    <x v="4"/>
    <x v="2"/>
    <x v="3"/>
    <x v="169"/>
    <n v="3"/>
    <n v="1478"/>
  </r>
  <r>
    <d v="2021-02-09T00:00:00"/>
    <x v="1"/>
    <x v="11"/>
    <x v="128"/>
    <x v="4"/>
    <x v="2"/>
    <x v="4"/>
    <x v="170"/>
    <n v="17"/>
    <n v="3121"/>
  </r>
  <r>
    <d v="2021-02-09T00:00:00"/>
    <x v="1"/>
    <x v="11"/>
    <x v="128"/>
    <x v="4"/>
    <x v="0"/>
    <x v="2"/>
    <x v="171"/>
    <n v="12"/>
    <n v="102"/>
  </r>
  <r>
    <d v="2021-02-10T00:00:00"/>
    <x v="1"/>
    <x v="11"/>
    <x v="129"/>
    <x v="0"/>
    <x v="2"/>
    <x v="8"/>
    <x v="172"/>
    <n v="10"/>
    <n v="1728"/>
  </r>
  <r>
    <d v="2021-02-12T00:00:00"/>
    <x v="1"/>
    <x v="11"/>
    <x v="130"/>
    <x v="0"/>
    <x v="1"/>
    <x v="6"/>
    <x v="173"/>
    <n v="13"/>
    <n v="1403"/>
  </r>
  <r>
    <d v="2021-02-12T00:00:00"/>
    <x v="1"/>
    <x v="11"/>
    <x v="130"/>
    <x v="0"/>
    <x v="2"/>
    <x v="4"/>
    <x v="174"/>
    <n v="14"/>
    <n v="388"/>
  </r>
  <r>
    <d v="2021-02-14T00:00:00"/>
    <x v="1"/>
    <x v="11"/>
    <x v="131"/>
    <x v="2"/>
    <x v="0"/>
    <x v="5"/>
    <x v="175"/>
    <n v="8"/>
    <n v="1008"/>
  </r>
  <r>
    <d v="2021-02-17T00:00:00"/>
    <x v="1"/>
    <x v="11"/>
    <x v="132"/>
    <x v="0"/>
    <x v="1"/>
    <x v="1"/>
    <x v="176"/>
    <n v="1"/>
    <n v="384"/>
  </r>
  <r>
    <d v="2021-02-17T00:00:00"/>
    <x v="1"/>
    <x v="11"/>
    <x v="132"/>
    <x v="0"/>
    <x v="0"/>
    <x v="0"/>
    <x v="177"/>
    <n v="13"/>
    <n v="1111"/>
  </r>
  <r>
    <d v="2021-02-18T00:00:00"/>
    <x v="1"/>
    <x v="11"/>
    <x v="133"/>
    <x v="5"/>
    <x v="0"/>
    <x v="2"/>
    <x v="178"/>
    <n v="13"/>
    <n v="1142"/>
  </r>
  <r>
    <d v="2021-02-18T00:00:00"/>
    <x v="1"/>
    <x v="11"/>
    <x v="133"/>
    <x v="5"/>
    <x v="0"/>
    <x v="2"/>
    <x v="179"/>
    <n v="6"/>
    <n v="3146"/>
  </r>
  <r>
    <d v="2021-02-18T00:00:00"/>
    <x v="1"/>
    <x v="11"/>
    <x v="133"/>
    <x v="5"/>
    <x v="1"/>
    <x v="6"/>
    <x v="180"/>
    <n v="17"/>
    <n v="133"/>
  </r>
  <r>
    <d v="2021-02-22T00:00:00"/>
    <x v="1"/>
    <x v="11"/>
    <x v="134"/>
    <x v="0"/>
    <x v="0"/>
    <x v="2"/>
    <x v="181"/>
    <n v="12"/>
    <n v="256"/>
  </r>
  <r>
    <d v="2021-02-28T00:00:00"/>
    <x v="1"/>
    <x v="11"/>
    <x v="135"/>
    <x v="4"/>
    <x v="1"/>
    <x v="1"/>
    <x v="182"/>
    <n v="6"/>
    <n v="501"/>
  </r>
  <r>
    <d v="2021-03-01T00:00:00"/>
    <x v="1"/>
    <x v="0"/>
    <x v="136"/>
    <x v="5"/>
    <x v="2"/>
    <x v="7"/>
    <x v="183"/>
    <n v="9"/>
    <n v="3042"/>
  </r>
  <r>
    <d v="2021-03-03T00:00:00"/>
    <x v="1"/>
    <x v="0"/>
    <x v="137"/>
    <x v="1"/>
    <x v="2"/>
    <x v="7"/>
    <x v="184"/>
    <n v="12"/>
    <n v="92"/>
  </r>
  <r>
    <d v="2021-03-05T00:00:00"/>
    <x v="1"/>
    <x v="0"/>
    <x v="138"/>
    <x v="4"/>
    <x v="0"/>
    <x v="11"/>
    <x v="185"/>
    <n v="2"/>
    <n v="272"/>
  </r>
  <r>
    <d v="2021-03-06T00:00:00"/>
    <x v="1"/>
    <x v="0"/>
    <x v="139"/>
    <x v="4"/>
    <x v="1"/>
    <x v="1"/>
    <x v="186"/>
    <n v="12"/>
    <n v="4339"/>
  </r>
  <r>
    <d v="2021-03-06T00:00:00"/>
    <x v="1"/>
    <x v="0"/>
    <x v="139"/>
    <x v="4"/>
    <x v="0"/>
    <x v="5"/>
    <x v="187"/>
    <n v="18"/>
    <n v="2356"/>
  </r>
  <r>
    <d v="2021-03-06T00:00:00"/>
    <x v="1"/>
    <x v="0"/>
    <x v="139"/>
    <x v="4"/>
    <x v="0"/>
    <x v="0"/>
    <x v="188"/>
    <n v="10"/>
    <n v="334"/>
  </r>
  <r>
    <d v="2021-03-07T00:00:00"/>
    <x v="1"/>
    <x v="0"/>
    <x v="140"/>
    <x v="3"/>
    <x v="2"/>
    <x v="4"/>
    <x v="189"/>
    <n v="8"/>
    <n v="2642"/>
  </r>
  <r>
    <d v="2021-03-12T00:00:00"/>
    <x v="1"/>
    <x v="0"/>
    <x v="141"/>
    <x v="3"/>
    <x v="2"/>
    <x v="3"/>
    <x v="190"/>
    <n v="8"/>
    <n v="155"/>
  </r>
  <r>
    <d v="2021-03-13T00:00:00"/>
    <x v="1"/>
    <x v="0"/>
    <x v="142"/>
    <x v="2"/>
    <x v="0"/>
    <x v="2"/>
    <x v="191"/>
    <n v="9"/>
    <n v="238"/>
  </r>
  <r>
    <d v="2021-03-14T00:00:00"/>
    <x v="1"/>
    <x v="0"/>
    <x v="143"/>
    <x v="2"/>
    <x v="0"/>
    <x v="0"/>
    <x v="192"/>
    <n v="5"/>
    <n v="727"/>
  </r>
  <r>
    <d v="2021-03-18T00:00:00"/>
    <x v="1"/>
    <x v="0"/>
    <x v="144"/>
    <x v="5"/>
    <x v="2"/>
    <x v="7"/>
    <x v="184"/>
    <n v="12"/>
    <n v="92"/>
  </r>
  <r>
    <d v="2021-03-21T00:00:00"/>
    <x v="1"/>
    <x v="0"/>
    <x v="145"/>
    <x v="3"/>
    <x v="1"/>
    <x v="1"/>
    <x v="193"/>
    <n v="15"/>
    <n v="1057"/>
  </r>
  <r>
    <d v="2021-03-24T00:00:00"/>
    <x v="1"/>
    <x v="0"/>
    <x v="146"/>
    <x v="2"/>
    <x v="0"/>
    <x v="5"/>
    <x v="194"/>
    <n v="17"/>
    <n v="3741"/>
  </r>
  <r>
    <d v="2021-03-24T00:00:00"/>
    <x v="1"/>
    <x v="0"/>
    <x v="146"/>
    <x v="2"/>
    <x v="1"/>
    <x v="9"/>
    <x v="195"/>
    <n v="16"/>
    <n v="3457"/>
  </r>
  <r>
    <d v="2021-03-24T00:00:00"/>
    <x v="1"/>
    <x v="0"/>
    <x v="147"/>
    <x v="2"/>
    <x v="0"/>
    <x v="0"/>
    <x v="196"/>
    <n v="17"/>
    <n v="3699"/>
  </r>
  <r>
    <d v="2021-03-24T00:00:00"/>
    <x v="1"/>
    <x v="0"/>
    <x v="147"/>
    <x v="2"/>
    <x v="1"/>
    <x v="1"/>
    <x v="115"/>
    <n v="3"/>
    <n v="51"/>
  </r>
  <r>
    <d v="2021-03-25T00:00:00"/>
    <x v="1"/>
    <x v="0"/>
    <x v="148"/>
    <x v="1"/>
    <x v="0"/>
    <x v="11"/>
    <x v="197"/>
    <n v="20"/>
    <n v="3079"/>
  </r>
  <r>
    <d v="2021-03-25T00:00:00"/>
    <x v="1"/>
    <x v="0"/>
    <x v="148"/>
    <x v="1"/>
    <x v="0"/>
    <x v="0"/>
    <x v="198"/>
    <n v="6"/>
    <n v="2807"/>
  </r>
  <r>
    <d v="2021-03-28T00:00:00"/>
    <x v="1"/>
    <x v="0"/>
    <x v="149"/>
    <x v="3"/>
    <x v="1"/>
    <x v="9"/>
    <x v="199"/>
    <n v="2"/>
    <n v="4197"/>
  </r>
  <r>
    <d v="2021-04-01T00:00:00"/>
    <x v="1"/>
    <x v="1"/>
    <x v="150"/>
    <x v="4"/>
    <x v="0"/>
    <x v="2"/>
    <x v="200"/>
    <n v="16"/>
    <n v="3098"/>
  </r>
  <r>
    <d v="2021-04-01T00:00:00"/>
    <x v="1"/>
    <x v="1"/>
    <x v="150"/>
    <x v="4"/>
    <x v="0"/>
    <x v="0"/>
    <x v="201"/>
    <n v="11"/>
    <n v="356"/>
  </r>
  <r>
    <d v="2021-04-03T00:00:00"/>
    <x v="1"/>
    <x v="1"/>
    <x v="151"/>
    <x v="4"/>
    <x v="1"/>
    <x v="1"/>
    <x v="202"/>
    <n v="13"/>
    <n v="584"/>
  </r>
  <r>
    <d v="2021-04-03T00:00:00"/>
    <x v="1"/>
    <x v="1"/>
    <x v="152"/>
    <x v="2"/>
    <x v="0"/>
    <x v="0"/>
    <x v="203"/>
    <n v="18"/>
    <n v="2189"/>
  </r>
  <r>
    <d v="2021-04-04T00:00:00"/>
    <x v="1"/>
    <x v="1"/>
    <x v="153"/>
    <x v="4"/>
    <x v="1"/>
    <x v="10"/>
    <x v="204"/>
    <n v="15"/>
    <n v="1346"/>
  </r>
  <r>
    <d v="2021-04-05T00:00:00"/>
    <x v="1"/>
    <x v="1"/>
    <x v="154"/>
    <x v="4"/>
    <x v="2"/>
    <x v="8"/>
    <x v="205"/>
    <n v="10"/>
    <n v="451"/>
  </r>
  <r>
    <d v="2021-04-05T00:00:00"/>
    <x v="1"/>
    <x v="1"/>
    <x v="154"/>
    <x v="4"/>
    <x v="2"/>
    <x v="4"/>
    <x v="206"/>
    <n v="3"/>
    <n v="3192"/>
  </r>
  <r>
    <d v="2021-04-05T00:00:00"/>
    <x v="1"/>
    <x v="1"/>
    <x v="154"/>
    <x v="4"/>
    <x v="2"/>
    <x v="3"/>
    <x v="207"/>
    <n v="19"/>
    <n v="1712"/>
  </r>
  <r>
    <d v="2021-04-12T00:00:00"/>
    <x v="1"/>
    <x v="1"/>
    <x v="155"/>
    <x v="0"/>
    <x v="2"/>
    <x v="3"/>
    <x v="208"/>
    <n v="15"/>
    <n v="1451"/>
  </r>
  <r>
    <d v="2021-04-19T00:00:00"/>
    <x v="1"/>
    <x v="1"/>
    <x v="156"/>
    <x v="1"/>
    <x v="0"/>
    <x v="5"/>
    <x v="209"/>
    <n v="3"/>
    <n v="1253"/>
  </r>
  <r>
    <d v="2021-04-27T00:00:00"/>
    <x v="1"/>
    <x v="1"/>
    <x v="157"/>
    <x v="5"/>
    <x v="0"/>
    <x v="0"/>
    <x v="210"/>
    <n v="11"/>
    <n v="557"/>
  </r>
  <r>
    <d v="2021-04-30T00:00:00"/>
    <x v="1"/>
    <x v="1"/>
    <x v="158"/>
    <x v="1"/>
    <x v="1"/>
    <x v="9"/>
    <x v="211"/>
    <n v="5"/>
    <n v="568"/>
  </r>
  <r>
    <d v="2021-04-30T00:00:00"/>
    <x v="1"/>
    <x v="1"/>
    <x v="158"/>
    <x v="1"/>
    <x v="1"/>
    <x v="1"/>
    <x v="212"/>
    <n v="9"/>
    <n v="2020"/>
  </r>
  <r>
    <d v="2021-05-03T00:00:00"/>
    <x v="1"/>
    <x v="2"/>
    <x v="159"/>
    <x v="5"/>
    <x v="2"/>
    <x v="3"/>
    <x v="213"/>
    <n v="20"/>
    <n v="2358"/>
  </r>
  <r>
    <d v="2021-05-07T00:00:00"/>
    <x v="1"/>
    <x v="2"/>
    <x v="160"/>
    <x v="1"/>
    <x v="2"/>
    <x v="3"/>
    <x v="214"/>
    <n v="17"/>
    <n v="448"/>
  </r>
  <r>
    <d v="2021-05-07T00:00:00"/>
    <x v="1"/>
    <x v="2"/>
    <x v="160"/>
    <x v="1"/>
    <x v="1"/>
    <x v="6"/>
    <x v="215"/>
    <n v="5"/>
    <n v="562"/>
  </r>
  <r>
    <d v="2021-05-08T00:00:00"/>
    <x v="1"/>
    <x v="2"/>
    <x v="161"/>
    <x v="3"/>
    <x v="0"/>
    <x v="2"/>
    <x v="216"/>
    <n v="12"/>
    <n v="1848"/>
  </r>
  <r>
    <d v="2021-05-08T00:00:00"/>
    <x v="1"/>
    <x v="2"/>
    <x v="161"/>
    <x v="3"/>
    <x v="2"/>
    <x v="7"/>
    <x v="217"/>
    <n v="11"/>
    <n v="866"/>
  </r>
  <r>
    <d v="2021-05-12T00:00:00"/>
    <x v="1"/>
    <x v="2"/>
    <x v="162"/>
    <x v="1"/>
    <x v="0"/>
    <x v="2"/>
    <x v="218"/>
    <n v="1"/>
    <n v="1470"/>
  </r>
  <r>
    <d v="2021-05-12T00:00:00"/>
    <x v="1"/>
    <x v="2"/>
    <x v="162"/>
    <x v="1"/>
    <x v="0"/>
    <x v="5"/>
    <x v="219"/>
    <n v="12"/>
    <n v="718"/>
  </r>
  <r>
    <d v="2021-05-12T00:00:00"/>
    <x v="1"/>
    <x v="2"/>
    <x v="162"/>
    <x v="1"/>
    <x v="1"/>
    <x v="9"/>
    <x v="220"/>
    <n v="10"/>
    <n v="855"/>
  </r>
  <r>
    <d v="2021-05-15T00:00:00"/>
    <x v="1"/>
    <x v="2"/>
    <x v="163"/>
    <x v="3"/>
    <x v="1"/>
    <x v="9"/>
    <x v="221"/>
    <n v="18"/>
    <n v="2999"/>
  </r>
  <r>
    <d v="2021-05-16T00:00:00"/>
    <x v="1"/>
    <x v="2"/>
    <x v="164"/>
    <x v="3"/>
    <x v="1"/>
    <x v="10"/>
    <x v="222"/>
    <n v="11"/>
    <n v="594"/>
  </r>
  <r>
    <d v="2021-05-16T00:00:00"/>
    <x v="1"/>
    <x v="2"/>
    <x v="164"/>
    <x v="3"/>
    <x v="1"/>
    <x v="9"/>
    <x v="223"/>
    <n v="6"/>
    <n v="371"/>
  </r>
  <r>
    <d v="2021-05-18T00:00:00"/>
    <x v="1"/>
    <x v="2"/>
    <x v="165"/>
    <x v="3"/>
    <x v="0"/>
    <x v="5"/>
    <x v="224"/>
    <n v="20"/>
    <n v="3158"/>
  </r>
  <r>
    <d v="2021-05-18T00:00:00"/>
    <x v="1"/>
    <x v="2"/>
    <x v="165"/>
    <x v="3"/>
    <x v="2"/>
    <x v="4"/>
    <x v="225"/>
    <n v="14"/>
    <n v="1227"/>
  </r>
  <r>
    <d v="2021-05-25T00:00:00"/>
    <x v="1"/>
    <x v="2"/>
    <x v="166"/>
    <x v="5"/>
    <x v="2"/>
    <x v="8"/>
    <x v="226"/>
    <n v="14"/>
    <n v="54"/>
  </r>
  <r>
    <d v="2021-05-27T00:00:00"/>
    <x v="1"/>
    <x v="2"/>
    <x v="167"/>
    <x v="3"/>
    <x v="0"/>
    <x v="11"/>
    <x v="227"/>
    <n v="19"/>
    <n v="2121"/>
  </r>
  <r>
    <d v="2021-05-27T00:00:00"/>
    <x v="1"/>
    <x v="2"/>
    <x v="168"/>
    <x v="5"/>
    <x v="1"/>
    <x v="9"/>
    <x v="228"/>
    <n v="19"/>
    <n v="3381"/>
  </r>
  <r>
    <d v="2021-05-27T00:00:00"/>
    <x v="1"/>
    <x v="2"/>
    <x v="169"/>
    <x v="0"/>
    <x v="2"/>
    <x v="8"/>
    <x v="123"/>
    <n v="8"/>
    <n v="2041"/>
  </r>
  <r>
    <d v="2021-05-27T00:00:00"/>
    <x v="1"/>
    <x v="2"/>
    <x v="169"/>
    <x v="0"/>
    <x v="0"/>
    <x v="5"/>
    <x v="124"/>
    <n v="10"/>
    <n v="1834"/>
  </r>
  <r>
    <d v="2021-05-28T00:00:00"/>
    <x v="1"/>
    <x v="2"/>
    <x v="170"/>
    <x v="5"/>
    <x v="2"/>
    <x v="3"/>
    <x v="229"/>
    <n v="1"/>
    <n v="163"/>
  </r>
  <r>
    <d v="2021-05-28T00:00:00"/>
    <x v="1"/>
    <x v="2"/>
    <x v="171"/>
    <x v="3"/>
    <x v="0"/>
    <x v="11"/>
    <x v="230"/>
    <n v="17"/>
    <n v="2114"/>
  </r>
  <r>
    <d v="2021-06-02T00:00:00"/>
    <x v="1"/>
    <x v="3"/>
    <x v="172"/>
    <x v="3"/>
    <x v="1"/>
    <x v="6"/>
    <x v="231"/>
    <n v="5"/>
    <n v="235"/>
  </r>
  <r>
    <d v="2021-06-03T00:00:00"/>
    <x v="1"/>
    <x v="3"/>
    <x v="173"/>
    <x v="4"/>
    <x v="2"/>
    <x v="7"/>
    <x v="232"/>
    <n v="19"/>
    <n v="1539"/>
  </r>
  <r>
    <d v="2021-06-04T00:00:00"/>
    <x v="1"/>
    <x v="3"/>
    <x v="174"/>
    <x v="2"/>
    <x v="1"/>
    <x v="10"/>
    <x v="233"/>
    <n v="15"/>
    <n v="235"/>
  </r>
  <r>
    <d v="2021-06-05T00:00:00"/>
    <x v="1"/>
    <x v="3"/>
    <x v="175"/>
    <x v="2"/>
    <x v="0"/>
    <x v="0"/>
    <x v="234"/>
    <n v="14"/>
    <n v="897"/>
  </r>
  <r>
    <d v="2021-06-06T00:00:00"/>
    <x v="1"/>
    <x v="3"/>
    <x v="176"/>
    <x v="4"/>
    <x v="0"/>
    <x v="0"/>
    <x v="235"/>
    <n v="15"/>
    <n v="1335"/>
  </r>
  <r>
    <d v="2021-06-07T00:00:00"/>
    <x v="1"/>
    <x v="3"/>
    <x v="177"/>
    <x v="2"/>
    <x v="1"/>
    <x v="1"/>
    <x v="236"/>
    <n v="15"/>
    <n v="258"/>
  </r>
  <r>
    <d v="2021-06-11T00:00:00"/>
    <x v="1"/>
    <x v="3"/>
    <x v="178"/>
    <x v="3"/>
    <x v="0"/>
    <x v="0"/>
    <x v="237"/>
    <n v="1"/>
    <n v="1226"/>
  </r>
  <r>
    <d v="2021-06-11T00:00:00"/>
    <x v="1"/>
    <x v="3"/>
    <x v="179"/>
    <x v="5"/>
    <x v="2"/>
    <x v="3"/>
    <x v="238"/>
    <n v="8"/>
    <n v="457"/>
  </r>
  <r>
    <d v="2021-06-13T00:00:00"/>
    <x v="1"/>
    <x v="3"/>
    <x v="180"/>
    <x v="2"/>
    <x v="1"/>
    <x v="10"/>
    <x v="239"/>
    <n v="18"/>
    <n v="2220"/>
  </r>
  <r>
    <d v="2021-06-13T00:00:00"/>
    <x v="1"/>
    <x v="3"/>
    <x v="181"/>
    <x v="4"/>
    <x v="0"/>
    <x v="0"/>
    <x v="240"/>
    <n v="3"/>
    <n v="933"/>
  </r>
  <r>
    <d v="2021-06-14T00:00:00"/>
    <x v="1"/>
    <x v="3"/>
    <x v="182"/>
    <x v="5"/>
    <x v="2"/>
    <x v="7"/>
    <x v="183"/>
    <n v="9"/>
    <n v="3042"/>
  </r>
  <r>
    <d v="2021-06-15T00:00:00"/>
    <x v="1"/>
    <x v="3"/>
    <x v="183"/>
    <x v="2"/>
    <x v="0"/>
    <x v="11"/>
    <x v="241"/>
    <n v="16"/>
    <n v="3289"/>
  </r>
  <r>
    <d v="2021-06-15T00:00:00"/>
    <x v="1"/>
    <x v="3"/>
    <x v="183"/>
    <x v="2"/>
    <x v="1"/>
    <x v="6"/>
    <x v="242"/>
    <n v="20"/>
    <n v="3698"/>
  </r>
  <r>
    <d v="2021-06-17T00:00:00"/>
    <x v="1"/>
    <x v="3"/>
    <x v="184"/>
    <x v="5"/>
    <x v="2"/>
    <x v="7"/>
    <x v="243"/>
    <n v="15"/>
    <n v="914"/>
  </r>
  <r>
    <d v="2021-06-18T00:00:00"/>
    <x v="1"/>
    <x v="3"/>
    <x v="185"/>
    <x v="3"/>
    <x v="2"/>
    <x v="8"/>
    <x v="244"/>
    <n v="6"/>
    <n v="573"/>
  </r>
  <r>
    <d v="2021-06-18T00:00:00"/>
    <x v="1"/>
    <x v="3"/>
    <x v="185"/>
    <x v="3"/>
    <x v="0"/>
    <x v="5"/>
    <x v="245"/>
    <n v="5"/>
    <n v="1014"/>
  </r>
  <r>
    <d v="2021-06-27T00:00:00"/>
    <x v="1"/>
    <x v="3"/>
    <x v="186"/>
    <x v="5"/>
    <x v="2"/>
    <x v="3"/>
    <x v="246"/>
    <n v="11"/>
    <n v="2385"/>
  </r>
  <r>
    <d v="2021-06-27T00:00:00"/>
    <x v="1"/>
    <x v="3"/>
    <x v="186"/>
    <x v="5"/>
    <x v="2"/>
    <x v="4"/>
    <x v="247"/>
    <n v="18"/>
    <n v="417"/>
  </r>
  <r>
    <d v="2021-07-05T00:00:00"/>
    <x v="1"/>
    <x v="4"/>
    <x v="187"/>
    <x v="5"/>
    <x v="1"/>
    <x v="6"/>
    <x v="248"/>
    <n v="4"/>
    <n v="125"/>
  </r>
  <r>
    <d v="2021-07-08T00:00:00"/>
    <x v="1"/>
    <x v="4"/>
    <x v="188"/>
    <x v="1"/>
    <x v="1"/>
    <x v="6"/>
    <x v="10"/>
    <n v="14"/>
    <n v="373"/>
  </r>
  <r>
    <d v="2021-07-08T00:00:00"/>
    <x v="1"/>
    <x v="4"/>
    <x v="188"/>
    <x v="1"/>
    <x v="2"/>
    <x v="7"/>
    <x v="11"/>
    <n v="7"/>
    <n v="114"/>
  </r>
  <r>
    <d v="2021-07-09T00:00:00"/>
    <x v="1"/>
    <x v="4"/>
    <x v="189"/>
    <x v="0"/>
    <x v="1"/>
    <x v="9"/>
    <x v="249"/>
    <n v="15"/>
    <n v="936"/>
  </r>
  <r>
    <d v="2021-07-12T00:00:00"/>
    <x v="1"/>
    <x v="4"/>
    <x v="190"/>
    <x v="3"/>
    <x v="0"/>
    <x v="0"/>
    <x v="0"/>
    <n v="18"/>
    <n v="2444"/>
  </r>
  <r>
    <d v="2021-07-18T00:00:00"/>
    <x v="1"/>
    <x v="4"/>
    <x v="191"/>
    <x v="4"/>
    <x v="1"/>
    <x v="1"/>
    <x v="250"/>
    <n v="17"/>
    <n v="633"/>
  </r>
  <r>
    <d v="2021-07-18T00:00:00"/>
    <x v="1"/>
    <x v="4"/>
    <x v="192"/>
    <x v="4"/>
    <x v="1"/>
    <x v="6"/>
    <x v="251"/>
    <n v="6"/>
    <n v="2881"/>
  </r>
  <r>
    <d v="2021-07-21T00:00:00"/>
    <x v="1"/>
    <x v="4"/>
    <x v="193"/>
    <x v="5"/>
    <x v="1"/>
    <x v="9"/>
    <x v="64"/>
    <n v="5"/>
    <n v="410"/>
  </r>
  <r>
    <d v="2021-07-21T00:00:00"/>
    <x v="1"/>
    <x v="4"/>
    <x v="193"/>
    <x v="5"/>
    <x v="1"/>
    <x v="10"/>
    <x v="65"/>
    <n v="4"/>
    <n v="534"/>
  </r>
  <r>
    <d v="2021-07-25T00:00:00"/>
    <x v="1"/>
    <x v="4"/>
    <x v="194"/>
    <x v="1"/>
    <x v="0"/>
    <x v="0"/>
    <x v="252"/>
    <n v="5"/>
    <n v="1275"/>
  </r>
  <r>
    <d v="2021-07-25T00:00:00"/>
    <x v="1"/>
    <x v="4"/>
    <x v="194"/>
    <x v="1"/>
    <x v="0"/>
    <x v="5"/>
    <x v="253"/>
    <n v="14"/>
    <n v="1330"/>
  </r>
  <r>
    <d v="2021-07-25T00:00:00"/>
    <x v="1"/>
    <x v="4"/>
    <x v="195"/>
    <x v="5"/>
    <x v="0"/>
    <x v="11"/>
    <x v="254"/>
    <n v="3"/>
    <n v="1841"/>
  </r>
  <r>
    <d v="2021-07-31T00:00:00"/>
    <x v="1"/>
    <x v="4"/>
    <x v="92"/>
    <x v="4"/>
    <x v="0"/>
    <x v="5"/>
    <x v="255"/>
    <n v="19"/>
    <n v="1941"/>
  </r>
  <r>
    <d v="2021-07-31T00:00:00"/>
    <x v="1"/>
    <x v="4"/>
    <x v="92"/>
    <x v="4"/>
    <x v="1"/>
    <x v="1"/>
    <x v="256"/>
    <n v="17"/>
    <n v="2572"/>
  </r>
  <r>
    <d v="2021-08-02T00:00:00"/>
    <x v="1"/>
    <x v="5"/>
    <x v="196"/>
    <x v="0"/>
    <x v="1"/>
    <x v="9"/>
    <x v="257"/>
    <n v="20"/>
    <n v="142"/>
  </r>
  <r>
    <d v="2021-08-06T00:00:00"/>
    <x v="1"/>
    <x v="5"/>
    <x v="197"/>
    <x v="1"/>
    <x v="1"/>
    <x v="1"/>
    <x v="258"/>
    <n v="20"/>
    <n v="149"/>
  </r>
  <r>
    <d v="2021-08-09T00:00:00"/>
    <x v="1"/>
    <x v="5"/>
    <x v="198"/>
    <x v="2"/>
    <x v="1"/>
    <x v="9"/>
    <x v="259"/>
    <n v="4"/>
    <n v="802"/>
  </r>
  <r>
    <d v="2021-08-10T00:00:00"/>
    <x v="1"/>
    <x v="5"/>
    <x v="199"/>
    <x v="2"/>
    <x v="2"/>
    <x v="3"/>
    <x v="260"/>
    <n v="6"/>
    <n v="1453"/>
  </r>
  <r>
    <d v="2021-08-12T00:00:00"/>
    <x v="1"/>
    <x v="5"/>
    <x v="200"/>
    <x v="0"/>
    <x v="2"/>
    <x v="8"/>
    <x v="261"/>
    <n v="12"/>
    <n v="775"/>
  </r>
  <r>
    <d v="2021-08-12T00:00:00"/>
    <x v="1"/>
    <x v="5"/>
    <x v="200"/>
    <x v="0"/>
    <x v="2"/>
    <x v="7"/>
    <x v="262"/>
    <n v="15"/>
    <n v="2213"/>
  </r>
  <r>
    <d v="2021-08-12T00:00:00"/>
    <x v="1"/>
    <x v="5"/>
    <x v="201"/>
    <x v="1"/>
    <x v="2"/>
    <x v="3"/>
    <x v="263"/>
    <n v="10"/>
    <n v="164"/>
  </r>
  <r>
    <d v="2021-08-13T00:00:00"/>
    <x v="1"/>
    <x v="5"/>
    <x v="202"/>
    <x v="1"/>
    <x v="2"/>
    <x v="7"/>
    <x v="21"/>
    <n v="10"/>
    <n v="1163"/>
  </r>
  <r>
    <d v="2021-08-13T00:00:00"/>
    <x v="1"/>
    <x v="5"/>
    <x v="202"/>
    <x v="1"/>
    <x v="0"/>
    <x v="2"/>
    <x v="22"/>
    <n v="11"/>
    <n v="267"/>
  </r>
  <r>
    <d v="2021-08-17T00:00:00"/>
    <x v="1"/>
    <x v="5"/>
    <x v="203"/>
    <x v="2"/>
    <x v="2"/>
    <x v="8"/>
    <x v="264"/>
    <n v="16"/>
    <n v="277"/>
  </r>
  <r>
    <d v="2021-08-17T00:00:00"/>
    <x v="1"/>
    <x v="5"/>
    <x v="204"/>
    <x v="2"/>
    <x v="0"/>
    <x v="2"/>
    <x v="265"/>
    <n v="1"/>
    <n v="3502"/>
  </r>
  <r>
    <d v="2021-08-17T00:00:00"/>
    <x v="1"/>
    <x v="5"/>
    <x v="205"/>
    <x v="4"/>
    <x v="2"/>
    <x v="8"/>
    <x v="266"/>
    <n v="4"/>
    <n v="224"/>
  </r>
  <r>
    <d v="2021-08-19T00:00:00"/>
    <x v="1"/>
    <x v="5"/>
    <x v="206"/>
    <x v="5"/>
    <x v="1"/>
    <x v="6"/>
    <x v="267"/>
    <n v="15"/>
    <n v="418"/>
  </r>
  <r>
    <d v="2021-08-21T00:00:00"/>
    <x v="1"/>
    <x v="5"/>
    <x v="207"/>
    <x v="3"/>
    <x v="1"/>
    <x v="10"/>
    <x v="222"/>
    <n v="11"/>
    <n v="594"/>
  </r>
  <r>
    <d v="2021-08-21T00:00:00"/>
    <x v="1"/>
    <x v="5"/>
    <x v="207"/>
    <x v="3"/>
    <x v="1"/>
    <x v="9"/>
    <x v="223"/>
    <n v="6"/>
    <n v="371"/>
  </r>
  <r>
    <d v="2021-08-24T00:00:00"/>
    <x v="1"/>
    <x v="5"/>
    <x v="208"/>
    <x v="1"/>
    <x v="0"/>
    <x v="11"/>
    <x v="268"/>
    <n v="14"/>
    <n v="2640"/>
  </r>
  <r>
    <d v="2021-08-29T00:00:00"/>
    <x v="1"/>
    <x v="5"/>
    <x v="209"/>
    <x v="1"/>
    <x v="2"/>
    <x v="4"/>
    <x v="269"/>
    <n v="16"/>
    <n v="793"/>
  </r>
  <r>
    <d v="2021-09-06T00:00:00"/>
    <x v="1"/>
    <x v="6"/>
    <x v="210"/>
    <x v="5"/>
    <x v="1"/>
    <x v="6"/>
    <x v="270"/>
    <n v="8"/>
    <n v="342"/>
  </r>
  <r>
    <d v="2021-09-06T00:00:00"/>
    <x v="1"/>
    <x v="6"/>
    <x v="211"/>
    <x v="0"/>
    <x v="2"/>
    <x v="7"/>
    <x v="271"/>
    <n v="9"/>
    <n v="55"/>
  </r>
  <r>
    <d v="2021-09-06T00:00:00"/>
    <x v="1"/>
    <x v="6"/>
    <x v="211"/>
    <x v="0"/>
    <x v="0"/>
    <x v="11"/>
    <x v="272"/>
    <n v="13"/>
    <n v="3821"/>
  </r>
  <r>
    <d v="2021-09-08T00:00:00"/>
    <x v="1"/>
    <x v="6"/>
    <x v="212"/>
    <x v="5"/>
    <x v="1"/>
    <x v="10"/>
    <x v="273"/>
    <n v="10"/>
    <n v="1169"/>
  </r>
  <r>
    <d v="2021-09-08T00:00:00"/>
    <x v="1"/>
    <x v="6"/>
    <x v="212"/>
    <x v="5"/>
    <x v="1"/>
    <x v="10"/>
    <x v="274"/>
    <n v="1"/>
    <n v="1490"/>
  </r>
  <r>
    <d v="2021-09-08T00:00:00"/>
    <x v="1"/>
    <x v="6"/>
    <x v="101"/>
    <x v="1"/>
    <x v="0"/>
    <x v="0"/>
    <x v="237"/>
    <n v="1"/>
    <n v="1226"/>
  </r>
  <r>
    <d v="2021-09-09T00:00:00"/>
    <x v="1"/>
    <x v="6"/>
    <x v="213"/>
    <x v="0"/>
    <x v="1"/>
    <x v="10"/>
    <x v="273"/>
    <n v="10"/>
    <n v="1169"/>
  </r>
  <r>
    <d v="2021-09-09T00:00:00"/>
    <x v="1"/>
    <x v="6"/>
    <x v="213"/>
    <x v="0"/>
    <x v="1"/>
    <x v="10"/>
    <x v="274"/>
    <n v="1"/>
    <n v="1490"/>
  </r>
  <r>
    <d v="2021-09-14T00:00:00"/>
    <x v="1"/>
    <x v="6"/>
    <x v="214"/>
    <x v="4"/>
    <x v="0"/>
    <x v="2"/>
    <x v="275"/>
    <n v="20"/>
    <n v="1041"/>
  </r>
  <r>
    <d v="2021-09-15T00:00:00"/>
    <x v="1"/>
    <x v="6"/>
    <x v="215"/>
    <x v="3"/>
    <x v="2"/>
    <x v="3"/>
    <x v="276"/>
    <n v="16"/>
    <n v="619"/>
  </r>
  <r>
    <d v="2021-09-15T00:00:00"/>
    <x v="1"/>
    <x v="6"/>
    <x v="215"/>
    <x v="3"/>
    <x v="0"/>
    <x v="5"/>
    <x v="277"/>
    <n v="15"/>
    <n v="986"/>
  </r>
  <r>
    <d v="2021-09-30T00:00:00"/>
    <x v="1"/>
    <x v="6"/>
    <x v="216"/>
    <x v="0"/>
    <x v="1"/>
    <x v="1"/>
    <x v="278"/>
    <n v="13"/>
    <n v="184"/>
  </r>
  <r>
    <d v="2021-10-02T00:00:00"/>
    <x v="1"/>
    <x v="7"/>
    <x v="217"/>
    <x v="2"/>
    <x v="1"/>
    <x v="1"/>
    <x v="250"/>
    <n v="17"/>
    <n v="633"/>
  </r>
  <r>
    <d v="2021-10-04T00:00:00"/>
    <x v="1"/>
    <x v="7"/>
    <x v="218"/>
    <x v="0"/>
    <x v="1"/>
    <x v="6"/>
    <x v="279"/>
    <n v="4"/>
    <n v="821"/>
  </r>
  <r>
    <d v="2021-10-04T00:00:00"/>
    <x v="1"/>
    <x v="7"/>
    <x v="219"/>
    <x v="1"/>
    <x v="2"/>
    <x v="8"/>
    <x v="260"/>
    <n v="5"/>
    <n v="1591"/>
  </r>
  <r>
    <d v="2021-10-05T00:00:00"/>
    <x v="1"/>
    <x v="7"/>
    <x v="220"/>
    <x v="2"/>
    <x v="2"/>
    <x v="7"/>
    <x v="280"/>
    <n v="16"/>
    <n v="1334"/>
  </r>
  <r>
    <d v="2021-10-06T00:00:00"/>
    <x v="1"/>
    <x v="7"/>
    <x v="221"/>
    <x v="2"/>
    <x v="1"/>
    <x v="9"/>
    <x v="281"/>
    <n v="6"/>
    <n v="1039"/>
  </r>
  <r>
    <d v="2021-10-06T00:00:00"/>
    <x v="1"/>
    <x v="7"/>
    <x v="222"/>
    <x v="1"/>
    <x v="0"/>
    <x v="2"/>
    <x v="181"/>
    <n v="12"/>
    <n v="256"/>
  </r>
  <r>
    <d v="2021-10-09T00:00:00"/>
    <x v="1"/>
    <x v="7"/>
    <x v="223"/>
    <x v="2"/>
    <x v="1"/>
    <x v="1"/>
    <x v="282"/>
    <n v="12"/>
    <n v="185"/>
  </r>
  <r>
    <d v="2021-10-09T00:00:00"/>
    <x v="1"/>
    <x v="7"/>
    <x v="224"/>
    <x v="1"/>
    <x v="1"/>
    <x v="1"/>
    <x v="283"/>
    <n v="20"/>
    <n v="3696"/>
  </r>
  <r>
    <d v="2021-10-09T00:00:00"/>
    <x v="1"/>
    <x v="7"/>
    <x v="224"/>
    <x v="1"/>
    <x v="1"/>
    <x v="10"/>
    <x v="284"/>
    <n v="7"/>
    <n v="3420"/>
  </r>
  <r>
    <d v="2021-10-12T00:00:00"/>
    <x v="1"/>
    <x v="7"/>
    <x v="225"/>
    <x v="4"/>
    <x v="2"/>
    <x v="8"/>
    <x v="244"/>
    <n v="6"/>
    <n v="573"/>
  </r>
  <r>
    <d v="2021-10-12T00:00:00"/>
    <x v="1"/>
    <x v="7"/>
    <x v="225"/>
    <x v="4"/>
    <x v="0"/>
    <x v="5"/>
    <x v="245"/>
    <n v="5"/>
    <n v="1014"/>
  </r>
  <r>
    <d v="2021-10-17T00:00:00"/>
    <x v="1"/>
    <x v="7"/>
    <x v="226"/>
    <x v="0"/>
    <x v="1"/>
    <x v="6"/>
    <x v="112"/>
    <n v="16"/>
    <n v="4812"/>
  </r>
  <r>
    <d v="2021-10-17T00:00:00"/>
    <x v="1"/>
    <x v="7"/>
    <x v="226"/>
    <x v="0"/>
    <x v="1"/>
    <x v="6"/>
    <x v="113"/>
    <n v="7"/>
    <n v="1185"/>
  </r>
  <r>
    <d v="2021-10-19T00:00:00"/>
    <x v="1"/>
    <x v="7"/>
    <x v="227"/>
    <x v="0"/>
    <x v="2"/>
    <x v="7"/>
    <x v="285"/>
    <n v="10"/>
    <n v="743"/>
  </r>
  <r>
    <d v="2021-10-20T00:00:00"/>
    <x v="1"/>
    <x v="7"/>
    <x v="228"/>
    <x v="4"/>
    <x v="1"/>
    <x v="9"/>
    <x v="286"/>
    <n v="16"/>
    <n v="1137"/>
  </r>
  <r>
    <d v="2021-10-20T00:00:00"/>
    <x v="1"/>
    <x v="7"/>
    <x v="228"/>
    <x v="4"/>
    <x v="0"/>
    <x v="5"/>
    <x v="287"/>
    <n v="15"/>
    <n v="74"/>
  </r>
  <r>
    <d v="2021-10-23T00:00:00"/>
    <x v="1"/>
    <x v="7"/>
    <x v="229"/>
    <x v="1"/>
    <x v="0"/>
    <x v="0"/>
    <x v="288"/>
    <n v="11"/>
    <n v="2419"/>
  </r>
  <r>
    <d v="2021-10-23T00:00:00"/>
    <x v="1"/>
    <x v="7"/>
    <x v="229"/>
    <x v="1"/>
    <x v="1"/>
    <x v="1"/>
    <x v="289"/>
    <n v="6"/>
    <n v="71"/>
  </r>
  <r>
    <d v="2021-10-23T00:00:00"/>
    <x v="1"/>
    <x v="7"/>
    <x v="230"/>
    <x v="3"/>
    <x v="2"/>
    <x v="3"/>
    <x v="290"/>
    <n v="19"/>
    <n v="64"/>
  </r>
  <r>
    <d v="2021-10-26T00:00:00"/>
    <x v="1"/>
    <x v="7"/>
    <x v="231"/>
    <x v="4"/>
    <x v="1"/>
    <x v="6"/>
    <x v="291"/>
    <n v="2"/>
    <n v="1411"/>
  </r>
  <r>
    <d v="2021-10-26T00:00:00"/>
    <x v="1"/>
    <x v="7"/>
    <x v="231"/>
    <x v="4"/>
    <x v="1"/>
    <x v="1"/>
    <x v="237"/>
    <n v="6"/>
    <n v="1152"/>
  </r>
  <r>
    <d v="2021-10-29T00:00:00"/>
    <x v="1"/>
    <x v="7"/>
    <x v="232"/>
    <x v="4"/>
    <x v="0"/>
    <x v="5"/>
    <x v="292"/>
    <n v="7"/>
    <n v="2037"/>
  </r>
  <r>
    <d v="2021-10-29T00:00:00"/>
    <x v="1"/>
    <x v="7"/>
    <x v="233"/>
    <x v="5"/>
    <x v="2"/>
    <x v="3"/>
    <x v="293"/>
    <n v="5"/>
    <n v="2530"/>
  </r>
  <r>
    <d v="2021-10-31T00:00:00"/>
    <x v="1"/>
    <x v="7"/>
    <x v="234"/>
    <x v="0"/>
    <x v="2"/>
    <x v="7"/>
    <x v="294"/>
    <n v="2"/>
    <n v="2606"/>
  </r>
  <r>
    <d v="2021-11-01T00:00:00"/>
    <x v="1"/>
    <x v="8"/>
    <x v="235"/>
    <x v="5"/>
    <x v="0"/>
    <x v="5"/>
    <x v="295"/>
    <n v="13"/>
    <n v="767"/>
  </r>
  <r>
    <d v="2021-11-06T00:00:00"/>
    <x v="1"/>
    <x v="8"/>
    <x v="236"/>
    <x v="2"/>
    <x v="1"/>
    <x v="1"/>
    <x v="296"/>
    <n v="9"/>
    <n v="1764"/>
  </r>
  <r>
    <d v="2021-11-11T00:00:00"/>
    <x v="1"/>
    <x v="8"/>
    <x v="237"/>
    <x v="2"/>
    <x v="0"/>
    <x v="0"/>
    <x v="297"/>
    <n v="15"/>
    <n v="3565"/>
  </r>
  <r>
    <d v="2021-11-11T00:00:00"/>
    <x v="1"/>
    <x v="8"/>
    <x v="237"/>
    <x v="2"/>
    <x v="2"/>
    <x v="8"/>
    <x v="298"/>
    <n v="10"/>
    <n v="3038"/>
  </r>
  <r>
    <d v="2021-11-12T00:00:00"/>
    <x v="1"/>
    <x v="8"/>
    <x v="238"/>
    <x v="2"/>
    <x v="2"/>
    <x v="7"/>
    <x v="299"/>
    <n v="15"/>
    <n v="253"/>
  </r>
  <r>
    <d v="2021-11-12T00:00:00"/>
    <x v="1"/>
    <x v="8"/>
    <x v="238"/>
    <x v="2"/>
    <x v="0"/>
    <x v="5"/>
    <x v="300"/>
    <n v="5"/>
    <n v="465"/>
  </r>
  <r>
    <d v="2021-11-12T00:00:00"/>
    <x v="1"/>
    <x v="8"/>
    <x v="239"/>
    <x v="3"/>
    <x v="1"/>
    <x v="6"/>
    <x v="270"/>
    <n v="8"/>
    <n v="342"/>
  </r>
  <r>
    <d v="2021-11-13T00:00:00"/>
    <x v="1"/>
    <x v="8"/>
    <x v="240"/>
    <x v="3"/>
    <x v="0"/>
    <x v="5"/>
    <x v="38"/>
    <n v="4"/>
    <n v="804"/>
  </r>
  <r>
    <d v="2021-11-13T00:00:00"/>
    <x v="1"/>
    <x v="8"/>
    <x v="241"/>
    <x v="0"/>
    <x v="1"/>
    <x v="10"/>
    <x v="301"/>
    <n v="19"/>
    <n v="1001"/>
  </r>
  <r>
    <d v="2021-11-13T00:00:00"/>
    <x v="1"/>
    <x v="8"/>
    <x v="241"/>
    <x v="0"/>
    <x v="2"/>
    <x v="7"/>
    <x v="302"/>
    <n v="10"/>
    <n v="1920"/>
  </r>
  <r>
    <d v="2021-11-16T00:00:00"/>
    <x v="1"/>
    <x v="8"/>
    <x v="242"/>
    <x v="2"/>
    <x v="2"/>
    <x v="8"/>
    <x v="303"/>
    <n v="16"/>
    <n v="2571"/>
  </r>
  <r>
    <d v="2021-11-16T00:00:00"/>
    <x v="1"/>
    <x v="8"/>
    <x v="242"/>
    <x v="2"/>
    <x v="1"/>
    <x v="9"/>
    <x v="304"/>
    <n v="13"/>
    <n v="3056"/>
  </r>
  <r>
    <d v="2021-11-16T00:00:00"/>
    <x v="1"/>
    <x v="8"/>
    <x v="242"/>
    <x v="2"/>
    <x v="2"/>
    <x v="7"/>
    <x v="305"/>
    <n v="14"/>
    <n v="1221"/>
  </r>
  <r>
    <d v="2021-11-16T00:00:00"/>
    <x v="1"/>
    <x v="8"/>
    <x v="243"/>
    <x v="3"/>
    <x v="0"/>
    <x v="11"/>
    <x v="48"/>
    <n v="9"/>
    <n v="602"/>
  </r>
  <r>
    <d v="2021-11-16T00:00:00"/>
    <x v="1"/>
    <x v="8"/>
    <x v="243"/>
    <x v="3"/>
    <x v="2"/>
    <x v="4"/>
    <x v="49"/>
    <n v="19"/>
    <n v="1849"/>
  </r>
  <r>
    <d v="2021-11-20T00:00:00"/>
    <x v="1"/>
    <x v="8"/>
    <x v="244"/>
    <x v="1"/>
    <x v="2"/>
    <x v="3"/>
    <x v="238"/>
    <n v="16"/>
    <n v="490"/>
  </r>
  <r>
    <d v="2021-11-20T00:00:00"/>
    <x v="1"/>
    <x v="8"/>
    <x v="244"/>
    <x v="1"/>
    <x v="2"/>
    <x v="8"/>
    <x v="306"/>
    <n v="1"/>
    <n v="179"/>
  </r>
  <r>
    <d v="2021-11-20T00:00:00"/>
    <x v="1"/>
    <x v="8"/>
    <x v="244"/>
    <x v="1"/>
    <x v="1"/>
    <x v="10"/>
    <x v="307"/>
    <n v="7"/>
    <n v="58"/>
  </r>
  <r>
    <d v="2021-11-20T00:00:00"/>
    <x v="1"/>
    <x v="8"/>
    <x v="245"/>
    <x v="0"/>
    <x v="2"/>
    <x v="3"/>
    <x v="43"/>
    <n v="12"/>
    <n v="867"/>
  </r>
  <r>
    <d v="2021-11-23T00:00:00"/>
    <x v="1"/>
    <x v="8"/>
    <x v="246"/>
    <x v="4"/>
    <x v="2"/>
    <x v="3"/>
    <x v="308"/>
    <n v="11"/>
    <n v="241"/>
  </r>
  <r>
    <d v="2021-11-24T00:00:00"/>
    <x v="1"/>
    <x v="8"/>
    <x v="247"/>
    <x v="2"/>
    <x v="1"/>
    <x v="9"/>
    <x v="281"/>
    <n v="6"/>
    <n v="1039"/>
  </r>
  <r>
    <d v="2021-11-26T00:00:00"/>
    <x v="1"/>
    <x v="8"/>
    <x v="248"/>
    <x v="4"/>
    <x v="2"/>
    <x v="8"/>
    <x v="309"/>
    <n v="8"/>
    <n v="4518"/>
  </r>
  <r>
    <d v="2021-11-26T00:00:00"/>
    <x v="1"/>
    <x v="8"/>
    <x v="248"/>
    <x v="4"/>
    <x v="2"/>
    <x v="3"/>
    <x v="310"/>
    <n v="5"/>
    <n v="934"/>
  </r>
  <r>
    <d v="2021-11-26T00:00:00"/>
    <x v="1"/>
    <x v="8"/>
    <x v="248"/>
    <x v="4"/>
    <x v="0"/>
    <x v="11"/>
    <x v="311"/>
    <n v="4"/>
    <n v="149"/>
  </r>
  <r>
    <d v="2021-11-27T00:00:00"/>
    <x v="1"/>
    <x v="8"/>
    <x v="249"/>
    <x v="2"/>
    <x v="2"/>
    <x v="4"/>
    <x v="312"/>
    <n v="5"/>
    <n v="275"/>
  </r>
  <r>
    <d v="2021-11-27T00:00:00"/>
    <x v="1"/>
    <x v="8"/>
    <x v="249"/>
    <x v="2"/>
    <x v="0"/>
    <x v="0"/>
    <x v="313"/>
    <n v="13"/>
    <n v="192"/>
  </r>
  <r>
    <d v="2021-11-29T00:00:00"/>
    <x v="1"/>
    <x v="8"/>
    <x v="250"/>
    <x v="3"/>
    <x v="0"/>
    <x v="0"/>
    <x v="314"/>
    <n v="19"/>
    <n v="508"/>
  </r>
  <r>
    <d v="2021-11-29T00:00:00"/>
    <x v="1"/>
    <x v="8"/>
    <x v="250"/>
    <x v="3"/>
    <x v="2"/>
    <x v="8"/>
    <x v="315"/>
    <n v="9"/>
    <n v="586"/>
  </r>
  <r>
    <d v="2021-12-01T00:00:00"/>
    <x v="1"/>
    <x v="9"/>
    <x v="251"/>
    <x v="4"/>
    <x v="1"/>
    <x v="9"/>
    <x v="316"/>
    <n v="1"/>
    <n v="2477"/>
  </r>
  <r>
    <d v="2021-12-01T00:00:00"/>
    <x v="1"/>
    <x v="9"/>
    <x v="251"/>
    <x v="4"/>
    <x v="2"/>
    <x v="7"/>
    <x v="317"/>
    <n v="19"/>
    <n v="1794"/>
  </r>
  <r>
    <d v="2021-12-03T00:00:00"/>
    <x v="1"/>
    <x v="9"/>
    <x v="252"/>
    <x v="1"/>
    <x v="1"/>
    <x v="9"/>
    <x v="318"/>
    <n v="18"/>
    <n v="437"/>
  </r>
  <r>
    <d v="2021-12-03T00:00:00"/>
    <x v="1"/>
    <x v="9"/>
    <x v="252"/>
    <x v="1"/>
    <x v="0"/>
    <x v="0"/>
    <x v="319"/>
    <n v="20"/>
    <n v="681"/>
  </r>
  <r>
    <d v="2021-12-05T00:00:00"/>
    <x v="1"/>
    <x v="9"/>
    <x v="253"/>
    <x v="2"/>
    <x v="1"/>
    <x v="6"/>
    <x v="320"/>
    <n v="8"/>
    <n v="2271"/>
  </r>
  <r>
    <d v="2021-12-05T00:00:00"/>
    <x v="1"/>
    <x v="9"/>
    <x v="253"/>
    <x v="2"/>
    <x v="0"/>
    <x v="2"/>
    <x v="321"/>
    <n v="1"/>
    <n v="1610"/>
  </r>
  <r>
    <d v="2021-12-07T00:00:00"/>
    <x v="1"/>
    <x v="9"/>
    <x v="254"/>
    <x v="1"/>
    <x v="2"/>
    <x v="4"/>
    <x v="322"/>
    <n v="11"/>
    <n v="686"/>
  </r>
  <r>
    <d v="2021-12-07T00:00:00"/>
    <x v="1"/>
    <x v="9"/>
    <x v="255"/>
    <x v="4"/>
    <x v="2"/>
    <x v="3"/>
    <x v="323"/>
    <n v="14"/>
    <n v="1001"/>
  </r>
  <r>
    <d v="2021-12-12T00:00:00"/>
    <x v="1"/>
    <x v="9"/>
    <x v="256"/>
    <x v="5"/>
    <x v="0"/>
    <x v="11"/>
    <x v="324"/>
    <n v="13"/>
    <n v="714"/>
  </r>
  <r>
    <d v="2021-12-12T00:00:00"/>
    <x v="1"/>
    <x v="9"/>
    <x v="256"/>
    <x v="5"/>
    <x v="2"/>
    <x v="8"/>
    <x v="325"/>
    <n v="8"/>
    <n v="1010"/>
  </r>
  <r>
    <d v="2021-12-12T00:00:00"/>
    <x v="1"/>
    <x v="9"/>
    <x v="256"/>
    <x v="5"/>
    <x v="0"/>
    <x v="11"/>
    <x v="326"/>
    <n v="5"/>
    <n v="2899"/>
  </r>
  <r>
    <d v="2021-12-13T00:00:00"/>
    <x v="1"/>
    <x v="9"/>
    <x v="257"/>
    <x v="5"/>
    <x v="2"/>
    <x v="7"/>
    <x v="232"/>
    <n v="19"/>
    <n v="1539"/>
  </r>
  <r>
    <d v="2021-12-14T00:00:00"/>
    <x v="1"/>
    <x v="9"/>
    <x v="258"/>
    <x v="1"/>
    <x v="2"/>
    <x v="4"/>
    <x v="142"/>
    <n v="14"/>
    <n v="552"/>
  </r>
  <r>
    <d v="2021-12-14T00:00:00"/>
    <x v="1"/>
    <x v="9"/>
    <x v="258"/>
    <x v="1"/>
    <x v="1"/>
    <x v="6"/>
    <x v="143"/>
    <n v="19"/>
    <n v="1003"/>
  </r>
  <r>
    <d v="2021-12-17T00:00:00"/>
    <x v="1"/>
    <x v="9"/>
    <x v="259"/>
    <x v="1"/>
    <x v="1"/>
    <x v="10"/>
    <x v="327"/>
    <n v="20"/>
    <n v="1180"/>
  </r>
  <r>
    <d v="2021-12-22T00:00:00"/>
    <x v="1"/>
    <x v="9"/>
    <x v="260"/>
    <x v="5"/>
    <x v="1"/>
    <x v="1"/>
    <x v="328"/>
    <n v="18"/>
    <n v="224"/>
  </r>
  <r>
    <d v="2021-12-22T00:00:00"/>
    <x v="1"/>
    <x v="9"/>
    <x v="260"/>
    <x v="5"/>
    <x v="2"/>
    <x v="8"/>
    <x v="329"/>
    <n v="7"/>
    <n v="1450"/>
  </r>
  <r>
    <d v="2021-12-22T00:00:00"/>
    <x v="1"/>
    <x v="9"/>
    <x v="260"/>
    <x v="5"/>
    <x v="2"/>
    <x v="4"/>
    <x v="330"/>
    <n v="12"/>
    <n v="2834"/>
  </r>
  <r>
    <d v="2021-12-24T00:00:00"/>
    <x v="1"/>
    <x v="9"/>
    <x v="261"/>
    <x v="2"/>
    <x v="2"/>
    <x v="8"/>
    <x v="331"/>
    <n v="2"/>
    <n v="218"/>
  </r>
  <r>
    <d v="2021-12-25T00:00:00"/>
    <x v="1"/>
    <x v="9"/>
    <x v="262"/>
    <x v="3"/>
    <x v="1"/>
    <x v="1"/>
    <x v="332"/>
    <n v="19"/>
    <n v="2782"/>
  </r>
  <r>
    <d v="2021-12-28T00:00:00"/>
    <x v="1"/>
    <x v="9"/>
    <x v="263"/>
    <x v="3"/>
    <x v="2"/>
    <x v="3"/>
    <x v="333"/>
    <n v="1"/>
    <n v="1353"/>
  </r>
  <r>
    <d v="2021-12-29T00:00:00"/>
    <x v="1"/>
    <x v="9"/>
    <x v="264"/>
    <x v="1"/>
    <x v="2"/>
    <x v="7"/>
    <x v="334"/>
    <n v="19"/>
    <n v="911"/>
  </r>
  <r>
    <d v="2021-12-29T00:00:00"/>
    <x v="1"/>
    <x v="9"/>
    <x v="264"/>
    <x v="1"/>
    <x v="1"/>
    <x v="1"/>
    <x v="335"/>
    <n v="14"/>
    <n v="1408"/>
  </r>
  <r>
    <d v="2021-12-31T00:00:00"/>
    <x v="1"/>
    <x v="9"/>
    <x v="265"/>
    <x v="4"/>
    <x v="0"/>
    <x v="0"/>
    <x v="336"/>
    <n v="3"/>
    <n v="340"/>
  </r>
  <r>
    <d v="2021-12-31T00:00:00"/>
    <x v="1"/>
    <x v="9"/>
    <x v="265"/>
    <x v="4"/>
    <x v="0"/>
    <x v="11"/>
    <x v="337"/>
    <n v="15"/>
    <n v="253"/>
  </r>
  <r>
    <d v="2021-12-31T00:00:00"/>
    <x v="1"/>
    <x v="9"/>
    <x v="266"/>
    <x v="1"/>
    <x v="1"/>
    <x v="6"/>
    <x v="338"/>
    <n v="19"/>
    <n v="1180"/>
  </r>
  <r>
    <d v="2022-01-02T00:00:00"/>
    <x v="2"/>
    <x v="10"/>
    <x v="267"/>
    <x v="4"/>
    <x v="0"/>
    <x v="11"/>
    <x v="339"/>
    <n v="11"/>
    <n v="197"/>
  </r>
  <r>
    <d v="2022-01-04T00:00:00"/>
    <x v="2"/>
    <x v="10"/>
    <x v="268"/>
    <x v="2"/>
    <x v="2"/>
    <x v="4"/>
    <x v="340"/>
    <n v="8"/>
    <n v="2456"/>
  </r>
  <r>
    <d v="2022-01-05T00:00:00"/>
    <x v="2"/>
    <x v="10"/>
    <x v="269"/>
    <x v="3"/>
    <x v="1"/>
    <x v="10"/>
    <x v="110"/>
    <n v="8"/>
    <n v="2632"/>
  </r>
  <r>
    <d v="2022-01-05T00:00:00"/>
    <x v="2"/>
    <x v="10"/>
    <x v="269"/>
    <x v="3"/>
    <x v="0"/>
    <x v="2"/>
    <x v="111"/>
    <n v="17"/>
    <n v="205"/>
  </r>
  <r>
    <d v="2022-01-08T00:00:00"/>
    <x v="2"/>
    <x v="10"/>
    <x v="270"/>
    <x v="0"/>
    <x v="2"/>
    <x v="8"/>
    <x v="153"/>
    <n v="9"/>
    <n v="1686"/>
  </r>
  <r>
    <d v="2022-01-10T00:00:00"/>
    <x v="2"/>
    <x v="10"/>
    <x v="271"/>
    <x v="2"/>
    <x v="0"/>
    <x v="5"/>
    <x v="295"/>
    <n v="13"/>
    <n v="767"/>
  </r>
  <r>
    <d v="2022-01-11T00:00:00"/>
    <x v="2"/>
    <x v="10"/>
    <x v="272"/>
    <x v="4"/>
    <x v="1"/>
    <x v="1"/>
    <x v="176"/>
    <n v="1"/>
    <n v="384"/>
  </r>
  <r>
    <d v="2022-01-11T00:00:00"/>
    <x v="2"/>
    <x v="10"/>
    <x v="272"/>
    <x v="4"/>
    <x v="0"/>
    <x v="0"/>
    <x v="177"/>
    <n v="13"/>
    <n v="1111"/>
  </r>
  <r>
    <d v="2022-01-13T00:00:00"/>
    <x v="2"/>
    <x v="10"/>
    <x v="273"/>
    <x v="4"/>
    <x v="1"/>
    <x v="9"/>
    <x v="221"/>
    <n v="18"/>
    <n v="2999"/>
  </r>
  <r>
    <d v="2022-01-14T00:00:00"/>
    <x v="2"/>
    <x v="10"/>
    <x v="274"/>
    <x v="5"/>
    <x v="1"/>
    <x v="1"/>
    <x v="341"/>
    <n v="15"/>
    <n v="898"/>
  </r>
  <r>
    <d v="2022-01-14T00:00:00"/>
    <x v="2"/>
    <x v="10"/>
    <x v="275"/>
    <x v="1"/>
    <x v="1"/>
    <x v="10"/>
    <x v="342"/>
    <n v="12"/>
    <n v="3427"/>
  </r>
  <r>
    <d v="2022-01-14T00:00:00"/>
    <x v="2"/>
    <x v="10"/>
    <x v="275"/>
    <x v="1"/>
    <x v="0"/>
    <x v="0"/>
    <x v="343"/>
    <n v="9"/>
    <n v="109"/>
  </r>
  <r>
    <d v="2022-01-14T00:00:00"/>
    <x v="2"/>
    <x v="10"/>
    <x v="275"/>
    <x v="1"/>
    <x v="1"/>
    <x v="6"/>
    <x v="344"/>
    <n v="14"/>
    <n v="1626"/>
  </r>
  <r>
    <d v="2022-01-15T00:00:00"/>
    <x v="2"/>
    <x v="10"/>
    <x v="276"/>
    <x v="3"/>
    <x v="1"/>
    <x v="1"/>
    <x v="345"/>
    <n v="20"/>
    <n v="760"/>
  </r>
  <r>
    <d v="2022-01-15T00:00:00"/>
    <x v="2"/>
    <x v="10"/>
    <x v="277"/>
    <x v="1"/>
    <x v="1"/>
    <x v="6"/>
    <x v="346"/>
    <n v="1"/>
    <n v="479"/>
  </r>
  <r>
    <d v="2022-01-15T00:00:00"/>
    <x v="2"/>
    <x v="10"/>
    <x v="277"/>
    <x v="1"/>
    <x v="0"/>
    <x v="2"/>
    <x v="347"/>
    <n v="7"/>
    <n v="906"/>
  </r>
  <r>
    <d v="2022-01-15T00:00:00"/>
    <x v="2"/>
    <x v="10"/>
    <x v="278"/>
    <x v="4"/>
    <x v="2"/>
    <x v="3"/>
    <x v="348"/>
    <n v="1"/>
    <n v="734"/>
  </r>
  <r>
    <d v="2022-01-16T00:00:00"/>
    <x v="2"/>
    <x v="10"/>
    <x v="279"/>
    <x v="2"/>
    <x v="2"/>
    <x v="7"/>
    <x v="349"/>
    <n v="1"/>
    <n v="55"/>
  </r>
  <r>
    <d v="2022-01-16T00:00:00"/>
    <x v="2"/>
    <x v="10"/>
    <x v="280"/>
    <x v="4"/>
    <x v="2"/>
    <x v="8"/>
    <x v="350"/>
    <n v="10"/>
    <n v="958"/>
  </r>
  <r>
    <d v="2022-01-17T00:00:00"/>
    <x v="2"/>
    <x v="10"/>
    <x v="281"/>
    <x v="5"/>
    <x v="0"/>
    <x v="11"/>
    <x v="227"/>
    <n v="19"/>
    <n v="2121"/>
  </r>
  <r>
    <d v="2022-01-18T00:00:00"/>
    <x v="2"/>
    <x v="10"/>
    <x v="282"/>
    <x v="1"/>
    <x v="2"/>
    <x v="4"/>
    <x v="144"/>
    <n v="2"/>
    <n v="342"/>
  </r>
  <r>
    <d v="2022-01-18T00:00:00"/>
    <x v="2"/>
    <x v="10"/>
    <x v="283"/>
    <x v="2"/>
    <x v="1"/>
    <x v="1"/>
    <x v="351"/>
    <n v="4"/>
    <n v="319"/>
  </r>
  <r>
    <d v="2022-01-18T00:00:00"/>
    <x v="2"/>
    <x v="10"/>
    <x v="283"/>
    <x v="2"/>
    <x v="2"/>
    <x v="4"/>
    <x v="352"/>
    <n v="14"/>
    <n v="3882"/>
  </r>
  <r>
    <d v="2022-01-18T00:00:00"/>
    <x v="2"/>
    <x v="10"/>
    <x v="283"/>
    <x v="2"/>
    <x v="2"/>
    <x v="4"/>
    <x v="353"/>
    <n v="7"/>
    <n v="279"/>
  </r>
  <r>
    <d v="2022-01-18T00:00:00"/>
    <x v="2"/>
    <x v="10"/>
    <x v="283"/>
    <x v="2"/>
    <x v="1"/>
    <x v="9"/>
    <x v="354"/>
    <n v="4"/>
    <n v="2049"/>
  </r>
  <r>
    <d v="2022-01-18T00:00:00"/>
    <x v="2"/>
    <x v="10"/>
    <x v="284"/>
    <x v="3"/>
    <x v="0"/>
    <x v="11"/>
    <x v="355"/>
    <n v="13"/>
    <n v="480"/>
  </r>
  <r>
    <d v="2022-01-19T00:00:00"/>
    <x v="2"/>
    <x v="10"/>
    <x v="285"/>
    <x v="5"/>
    <x v="2"/>
    <x v="7"/>
    <x v="356"/>
    <n v="5"/>
    <n v="247"/>
  </r>
  <r>
    <d v="2022-01-20T00:00:00"/>
    <x v="2"/>
    <x v="10"/>
    <x v="286"/>
    <x v="0"/>
    <x v="0"/>
    <x v="5"/>
    <x v="357"/>
    <n v="7"/>
    <n v="2839"/>
  </r>
  <r>
    <d v="2022-01-20T00:00:00"/>
    <x v="2"/>
    <x v="10"/>
    <x v="287"/>
    <x v="0"/>
    <x v="0"/>
    <x v="2"/>
    <x v="358"/>
    <n v="6"/>
    <n v="2428"/>
  </r>
  <r>
    <d v="2022-01-23T00:00:00"/>
    <x v="2"/>
    <x v="10"/>
    <x v="288"/>
    <x v="4"/>
    <x v="0"/>
    <x v="0"/>
    <x v="359"/>
    <n v="17"/>
    <n v="1821"/>
  </r>
  <r>
    <d v="2022-01-25T00:00:00"/>
    <x v="2"/>
    <x v="10"/>
    <x v="289"/>
    <x v="4"/>
    <x v="0"/>
    <x v="11"/>
    <x v="360"/>
    <n v="6"/>
    <n v="612"/>
  </r>
  <r>
    <d v="2022-02-03T00:00:00"/>
    <x v="2"/>
    <x v="11"/>
    <x v="290"/>
    <x v="4"/>
    <x v="0"/>
    <x v="11"/>
    <x v="324"/>
    <n v="13"/>
    <n v="714"/>
  </r>
  <r>
    <d v="2022-02-03T00:00:00"/>
    <x v="2"/>
    <x v="11"/>
    <x v="290"/>
    <x v="4"/>
    <x v="2"/>
    <x v="8"/>
    <x v="325"/>
    <n v="8"/>
    <n v="1010"/>
  </r>
  <r>
    <d v="2022-02-03T00:00:00"/>
    <x v="2"/>
    <x v="11"/>
    <x v="290"/>
    <x v="4"/>
    <x v="0"/>
    <x v="11"/>
    <x v="326"/>
    <n v="5"/>
    <n v="2899"/>
  </r>
  <r>
    <d v="2022-02-04T00:00:00"/>
    <x v="2"/>
    <x v="11"/>
    <x v="291"/>
    <x v="1"/>
    <x v="2"/>
    <x v="4"/>
    <x v="361"/>
    <n v="16"/>
    <n v="481"/>
  </r>
  <r>
    <d v="2022-02-06T00:00:00"/>
    <x v="2"/>
    <x v="11"/>
    <x v="292"/>
    <x v="4"/>
    <x v="0"/>
    <x v="0"/>
    <x v="127"/>
    <n v="10"/>
    <n v="936"/>
  </r>
  <r>
    <d v="2022-02-10T00:00:00"/>
    <x v="2"/>
    <x v="11"/>
    <x v="293"/>
    <x v="1"/>
    <x v="2"/>
    <x v="4"/>
    <x v="362"/>
    <n v="9"/>
    <n v="3040"/>
  </r>
  <r>
    <d v="2022-02-10T00:00:00"/>
    <x v="2"/>
    <x v="11"/>
    <x v="293"/>
    <x v="1"/>
    <x v="0"/>
    <x v="0"/>
    <x v="363"/>
    <n v="17"/>
    <n v="1491"/>
  </r>
  <r>
    <d v="2022-02-11T00:00:00"/>
    <x v="2"/>
    <x v="11"/>
    <x v="294"/>
    <x v="2"/>
    <x v="0"/>
    <x v="0"/>
    <x v="364"/>
    <n v="7"/>
    <n v="2251"/>
  </r>
  <r>
    <d v="2022-02-11T00:00:00"/>
    <x v="2"/>
    <x v="11"/>
    <x v="294"/>
    <x v="2"/>
    <x v="1"/>
    <x v="6"/>
    <x v="365"/>
    <n v="3"/>
    <n v="1547"/>
  </r>
  <r>
    <d v="2022-02-11T00:00:00"/>
    <x v="2"/>
    <x v="11"/>
    <x v="294"/>
    <x v="2"/>
    <x v="0"/>
    <x v="5"/>
    <x v="366"/>
    <n v="10"/>
    <n v="2588"/>
  </r>
  <r>
    <d v="2022-02-15T00:00:00"/>
    <x v="2"/>
    <x v="11"/>
    <x v="295"/>
    <x v="1"/>
    <x v="1"/>
    <x v="9"/>
    <x v="367"/>
    <n v="4"/>
    <n v="297"/>
  </r>
  <r>
    <d v="2022-02-18T00:00:00"/>
    <x v="2"/>
    <x v="11"/>
    <x v="296"/>
    <x v="0"/>
    <x v="2"/>
    <x v="3"/>
    <x v="368"/>
    <n v="4"/>
    <n v="83"/>
  </r>
  <r>
    <d v="2022-02-19T00:00:00"/>
    <x v="2"/>
    <x v="11"/>
    <x v="297"/>
    <x v="0"/>
    <x v="1"/>
    <x v="1"/>
    <x v="369"/>
    <n v="3"/>
    <n v="1477"/>
  </r>
  <r>
    <d v="2022-02-22T00:00:00"/>
    <x v="2"/>
    <x v="11"/>
    <x v="298"/>
    <x v="3"/>
    <x v="0"/>
    <x v="5"/>
    <x v="370"/>
    <n v="17"/>
    <n v="397"/>
  </r>
  <r>
    <d v="2022-02-22T00:00:00"/>
    <x v="2"/>
    <x v="11"/>
    <x v="298"/>
    <x v="3"/>
    <x v="1"/>
    <x v="6"/>
    <x v="371"/>
    <n v="11"/>
    <n v="88"/>
  </r>
  <r>
    <d v="2022-02-23T00:00:00"/>
    <x v="2"/>
    <x v="11"/>
    <x v="299"/>
    <x v="3"/>
    <x v="0"/>
    <x v="0"/>
    <x v="192"/>
    <n v="5"/>
    <n v="727"/>
  </r>
  <r>
    <d v="2022-02-23T00:00:00"/>
    <x v="2"/>
    <x v="11"/>
    <x v="300"/>
    <x v="5"/>
    <x v="0"/>
    <x v="5"/>
    <x v="372"/>
    <n v="4"/>
    <n v="851"/>
  </r>
  <r>
    <d v="2022-02-23T00:00:00"/>
    <x v="2"/>
    <x v="11"/>
    <x v="300"/>
    <x v="5"/>
    <x v="2"/>
    <x v="3"/>
    <x v="373"/>
    <n v="13"/>
    <n v="76"/>
  </r>
  <r>
    <d v="2022-02-24T00:00:00"/>
    <x v="2"/>
    <x v="11"/>
    <x v="301"/>
    <x v="4"/>
    <x v="2"/>
    <x v="8"/>
    <x v="374"/>
    <n v="7"/>
    <n v="727"/>
  </r>
  <r>
    <d v="2022-02-24T00:00:00"/>
    <x v="2"/>
    <x v="11"/>
    <x v="301"/>
    <x v="4"/>
    <x v="2"/>
    <x v="7"/>
    <x v="375"/>
    <n v="9"/>
    <n v="406"/>
  </r>
  <r>
    <d v="2022-02-26T00:00:00"/>
    <x v="2"/>
    <x v="11"/>
    <x v="302"/>
    <x v="2"/>
    <x v="2"/>
    <x v="8"/>
    <x v="205"/>
    <n v="10"/>
    <n v="451"/>
  </r>
  <r>
    <d v="2022-02-26T00:00:00"/>
    <x v="2"/>
    <x v="11"/>
    <x v="302"/>
    <x v="2"/>
    <x v="2"/>
    <x v="4"/>
    <x v="206"/>
    <n v="3"/>
    <n v="3192"/>
  </r>
  <r>
    <d v="2022-02-26T00:00:00"/>
    <x v="2"/>
    <x v="11"/>
    <x v="302"/>
    <x v="2"/>
    <x v="2"/>
    <x v="3"/>
    <x v="207"/>
    <n v="19"/>
    <n v="1712"/>
  </r>
  <r>
    <d v="2022-02-28T00:00:00"/>
    <x v="2"/>
    <x v="11"/>
    <x v="303"/>
    <x v="0"/>
    <x v="1"/>
    <x v="9"/>
    <x v="163"/>
    <n v="11"/>
    <n v="271"/>
  </r>
  <r>
    <d v="2022-02-28T00:00:00"/>
    <x v="2"/>
    <x v="11"/>
    <x v="303"/>
    <x v="0"/>
    <x v="2"/>
    <x v="8"/>
    <x v="164"/>
    <n v="2"/>
    <n v="699"/>
  </r>
  <r>
    <d v="2022-02-28T00:00:00"/>
    <x v="2"/>
    <x v="11"/>
    <x v="304"/>
    <x v="2"/>
    <x v="1"/>
    <x v="10"/>
    <x v="376"/>
    <n v="10"/>
    <n v="1415"/>
  </r>
  <r>
    <d v="2022-03-08T00:00:00"/>
    <x v="2"/>
    <x v="0"/>
    <x v="305"/>
    <x v="3"/>
    <x v="0"/>
    <x v="2"/>
    <x v="377"/>
    <n v="18"/>
    <n v="379"/>
  </r>
  <r>
    <d v="2022-03-08T00:00:00"/>
    <x v="2"/>
    <x v="0"/>
    <x v="305"/>
    <x v="3"/>
    <x v="2"/>
    <x v="4"/>
    <x v="378"/>
    <n v="14"/>
    <n v="4602"/>
  </r>
  <r>
    <d v="2022-03-08T00:00:00"/>
    <x v="2"/>
    <x v="0"/>
    <x v="305"/>
    <x v="3"/>
    <x v="0"/>
    <x v="0"/>
    <x v="379"/>
    <n v="14"/>
    <n v="50"/>
  </r>
  <r>
    <d v="2022-03-08T00:00:00"/>
    <x v="2"/>
    <x v="0"/>
    <x v="305"/>
    <x v="3"/>
    <x v="1"/>
    <x v="9"/>
    <x v="380"/>
    <n v="8"/>
    <n v="2135"/>
  </r>
  <r>
    <d v="2022-03-15T00:00:00"/>
    <x v="2"/>
    <x v="0"/>
    <x v="306"/>
    <x v="5"/>
    <x v="2"/>
    <x v="8"/>
    <x v="381"/>
    <n v="16"/>
    <n v="1943"/>
  </r>
  <r>
    <d v="2022-03-16T00:00:00"/>
    <x v="2"/>
    <x v="0"/>
    <x v="307"/>
    <x v="2"/>
    <x v="1"/>
    <x v="6"/>
    <x v="382"/>
    <n v="9"/>
    <n v="1940"/>
  </r>
  <r>
    <d v="2022-03-17T00:00:00"/>
    <x v="2"/>
    <x v="0"/>
    <x v="308"/>
    <x v="3"/>
    <x v="1"/>
    <x v="10"/>
    <x v="383"/>
    <n v="1"/>
    <n v="187"/>
  </r>
  <r>
    <d v="2022-03-17T00:00:00"/>
    <x v="2"/>
    <x v="0"/>
    <x v="309"/>
    <x v="4"/>
    <x v="0"/>
    <x v="11"/>
    <x v="384"/>
    <n v="7"/>
    <n v="2661"/>
  </r>
  <r>
    <d v="2022-03-20T00:00:00"/>
    <x v="2"/>
    <x v="0"/>
    <x v="310"/>
    <x v="2"/>
    <x v="1"/>
    <x v="9"/>
    <x v="29"/>
    <n v="20"/>
    <n v="1029"/>
  </r>
  <r>
    <d v="2022-03-20T00:00:00"/>
    <x v="2"/>
    <x v="0"/>
    <x v="311"/>
    <x v="5"/>
    <x v="1"/>
    <x v="6"/>
    <x v="101"/>
    <n v="4"/>
    <n v="970"/>
  </r>
  <r>
    <d v="2022-03-20T00:00:00"/>
    <x v="2"/>
    <x v="0"/>
    <x v="311"/>
    <x v="5"/>
    <x v="0"/>
    <x v="11"/>
    <x v="102"/>
    <n v="1"/>
    <n v="1026"/>
  </r>
  <r>
    <d v="2022-03-22T00:00:00"/>
    <x v="2"/>
    <x v="0"/>
    <x v="312"/>
    <x v="3"/>
    <x v="1"/>
    <x v="9"/>
    <x v="385"/>
    <n v="8"/>
    <n v="1152"/>
  </r>
  <r>
    <d v="2022-03-23T00:00:00"/>
    <x v="2"/>
    <x v="0"/>
    <x v="313"/>
    <x v="3"/>
    <x v="2"/>
    <x v="8"/>
    <x v="59"/>
    <n v="16"/>
    <n v="158"/>
  </r>
  <r>
    <d v="2022-03-23T00:00:00"/>
    <x v="2"/>
    <x v="0"/>
    <x v="313"/>
    <x v="3"/>
    <x v="2"/>
    <x v="3"/>
    <x v="60"/>
    <n v="17"/>
    <n v="177"/>
  </r>
  <r>
    <d v="2022-03-25T00:00:00"/>
    <x v="2"/>
    <x v="0"/>
    <x v="314"/>
    <x v="2"/>
    <x v="2"/>
    <x v="3"/>
    <x v="386"/>
    <n v="12"/>
    <n v="1538"/>
  </r>
  <r>
    <d v="2022-03-28T00:00:00"/>
    <x v="2"/>
    <x v="0"/>
    <x v="315"/>
    <x v="3"/>
    <x v="0"/>
    <x v="0"/>
    <x v="387"/>
    <n v="19"/>
    <n v="2669"/>
  </r>
  <r>
    <d v="2022-03-28T00:00:00"/>
    <x v="2"/>
    <x v="0"/>
    <x v="315"/>
    <x v="3"/>
    <x v="2"/>
    <x v="8"/>
    <x v="388"/>
    <n v="14"/>
    <n v="3930"/>
  </r>
  <r>
    <d v="2022-03-28T00:00:00"/>
    <x v="2"/>
    <x v="0"/>
    <x v="316"/>
    <x v="1"/>
    <x v="0"/>
    <x v="11"/>
    <x v="389"/>
    <n v="18"/>
    <n v="52"/>
  </r>
  <r>
    <d v="2022-03-29T00:00:00"/>
    <x v="2"/>
    <x v="0"/>
    <x v="317"/>
    <x v="3"/>
    <x v="2"/>
    <x v="4"/>
    <x v="390"/>
    <n v="10"/>
    <n v="622"/>
  </r>
  <r>
    <d v="2022-04-08T00:00:00"/>
    <x v="2"/>
    <x v="1"/>
    <x v="318"/>
    <x v="5"/>
    <x v="1"/>
    <x v="9"/>
    <x v="249"/>
    <n v="15"/>
    <n v="936"/>
  </r>
  <r>
    <d v="2022-04-11T00:00:00"/>
    <x v="2"/>
    <x v="1"/>
    <x v="319"/>
    <x v="3"/>
    <x v="1"/>
    <x v="1"/>
    <x v="391"/>
    <n v="19"/>
    <n v="265"/>
  </r>
  <r>
    <d v="2022-04-11T00:00:00"/>
    <x v="2"/>
    <x v="1"/>
    <x v="319"/>
    <x v="3"/>
    <x v="0"/>
    <x v="0"/>
    <x v="392"/>
    <n v="12"/>
    <n v="2029"/>
  </r>
  <r>
    <d v="2022-04-11T00:00:00"/>
    <x v="2"/>
    <x v="1"/>
    <x v="319"/>
    <x v="3"/>
    <x v="2"/>
    <x v="7"/>
    <x v="393"/>
    <n v="3"/>
    <n v="551"/>
  </r>
  <r>
    <d v="2022-04-12T00:00:00"/>
    <x v="2"/>
    <x v="1"/>
    <x v="320"/>
    <x v="4"/>
    <x v="0"/>
    <x v="11"/>
    <x v="394"/>
    <n v="11"/>
    <n v="175"/>
  </r>
  <r>
    <d v="2022-04-12T00:00:00"/>
    <x v="2"/>
    <x v="1"/>
    <x v="320"/>
    <x v="4"/>
    <x v="0"/>
    <x v="0"/>
    <x v="395"/>
    <n v="15"/>
    <n v="1776"/>
  </r>
  <r>
    <d v="2022-04-15T00:00:00"/>
    <x v="2"/>
    <x v="1"/>
    <x v="321"/>
    <x v="4"/>
    <x v="1"/>
    <x v="1"/>
    <x v="283"/>
    <n v="20"/>
    <n v="3696"/>
  </r>
  <r>
    <d v="2022-04-15T00:00:00"/>
    <x v="2"/>
    <x v="1"/>
    <x v="321"/>
    <x v="4"/>
    <x v="1"/>
    <x v="10"/>
    <x v="284"/>
    <n v="7"/>
    <n v="3420"/>
  </r>
  <r>
    <d v="2022-04-15T00:00:00"/>
    <x v="2"/>
    <x v="1"/>
    <x v="322"/>
    <x v="3"/>
    <x v="2"/>
    <x v="8"/>
    <x v="154"/>
    <n v="19"/>
    <n v="139"/>
  </r>
  <r>
    <d v="2022-04-15T00:00:00"/>
    <x v="2"/>
    <x v="1"/>
    <x v="322"/>
    <x v="3"/>
    <x v="2"/>
    <x v="8"/>
    <x v="155"/>
    <n v="16"/>
    <n v="800"/>
  </r>
  <r>
    <d v="2022-04-15T00:00:00"/>
    <x v="2"/>
    <x v="1"/>
    <x v="322"/>
    <x v="3"/>
    <x v="1"/>
    <x v="6"/>
    <x v="156"/>
    <n v="9"/>
    <n v="1626"/>
  </r>
  <r>
    <d v="2022-04-16T00:00:00"/>
    <x v="2"/>
    <x v="1"/>
    <x v="323"/>
    <x v="2"/>
    <x v="2"/>
    <x v="7"/>
    <x v="396"/>
    <n v="16"/>
    <n v="1151"/>
  </r>
  <r>
    <d v="2022-04-16T00:00:00"/>
    <x v="2"/>
    <x v="1"/>
    <x v="324"/>
    <x v="3"/>
    <x v="0"/>
    <x v="5"/>
    <x v="397"/>
    <n v="17"/>
    <n v="2510"/>
  </r>
  <r>
    <d v="2022-04-19T00:00:00"/>
    <x v="2"/>
    <x v="1"/>
    <x v="325"/>
    <x v="1"/>
    <x v="2"/>
    <x v="4"/>
    <x v="74"/>
    <n v="4"/>
    <n v="2873"/>
  </r>
  <r>
    <d v="2022-04-19T00:00:00"/>
    <x v="2"/>
    <x v="1"/>
    <x v="326"/>
    <x v="0"/>
    <x v="1"/>
    <x v="9"/>
    <x v="398"/>
    <n v="20"/>
    <n v="318"/>
  </r>
  <r>
    <d v="2022-04-19T00:00:00"/>
    <x v="2"/>
    <x v="1"/>
    <x v="327"/>
    <x v="3"/>
    <x v="1"/>
    <x v="1"/>
    <x v="399"/>
    <n v="2"/>
    <n v="941"/>
  </r>
  <r>
    <d v="2022-04-21T00:00:00"/>
    <x v="2"/>
    <x v="1"/>
    <x v="328"/>
    <x v="4"/>
    <x v="1"/>
    <x v="9"/>
    <x v="400"/>
    <n v="1"/>
    <n v="190"/>
  </r>
  <r>
    <d v="2022-04-23T00:00:00"/>
    <x v="2"/>
    <x v="1"/>
    <x v="329"/>
    <x v="4"/>
    <x v="1"/>
    <x v="6"/>
    <x v="401"/>
    <n v="6"/>
    <n v="2607"/>
  </r>
  <r>
    <d v="2022-04-24T00:00:00"/>
    <x v="2"/>
    <x v="1"/>
    <x v="330"/>
    <x v="0"/>
    <x v="0"/>
    <x v="11"/>
    <x v="402"/>
    <n v="8"/>
    <n v="121"/>
  </r>
  <r>
    <d v="2022-04-24T00:00:00"/>
    <x v="2"/>
    <x v="1"/>
    <x v="330"/>
    <x v="0"/>
    <x v="0"/>
    <x v="2"/>
    <x v="403"/>
    <n v="17"/>
    <n v="1881"/>
  </r>
  <r>
    <d v="2022-04-30T00:00:00"/>
    <x v="2"/>
    <x v="1"/>
    <x v="331"/>
    <x v="4"/>
    <x v="1"/>
    <x v="10"/>
    <x v="404"/>
    <n v="10"/>
    <n v="151"/>
  </r>
  <r>
    <d v="2022-05-01T00:00:00"/>
    <x v="2"/>
    <x v="2"/>
    <x v="332"/>
    <x v="4"/>
    <x v="0"/>
    <x v="2"/>
    <x v="405"/>
    <n v="8"/>
    <n v="608"/>
  </r>
  <r>
    <d v="2022-05-01T00:00:00"/>
    <x v="2"/>
    <x v="2"/>
    <x v="332"/>
    <x v="4"/>
    <x v="2"/>
    <x v="7"/>
    <x v="406"/>
    <n v="13"/>
    <n v="3359"/>
  </r>
  <r>
    <d v="2022-05-06T00:00:00"/>
    <x v="2"/>
    <x v="2"/>
    <x v="333"/>
    <x v="1"/>
    <x v="2"/>
    <x v="3"/>
    <x v="166"/>
    <n v="13"/>
    <n v="2211"/>
  </r>
  <r>
    <d v="2022-05-06T00:00:00"/>
    <x v="2"/>
    <x v="2"/>
    <x v="334"/>
    <x v="3"/>
    <x v="1"/>
    <x v="1"/>
    <x v="407"/>
    <n v="15"/>
    <n v="106"/>
  </r>
  <r>
    <d v="2022-05-06T00:00:00"/>
    <x v="2"/>
    <x v="2"/>
    <x v="335"/>
    <x v="3"/>
    <x v="1"/>
    <x v="9"/>
    <x v="408"/>
    <n v="3"/>
    <n v="1686"/>
  </r>
  <r>
    <d v="2022-05-07T00:00:00"/>
    <x v="2"/>
    <x v="2"/>
    <x v="336"/>
    <x v="2"/>
    <x v="2"/>
    <x v="3"/>
    <x v="409"/>
    <n v="17"/>
    <n v="1246"/>
  </r>
  <r>
    <d v="2022-05-10T00:00:00"/>
    <x v="2"/>
    <x v="2"/>
    <x v="337"/>
    <x v="2"/>
    <x v="0"/>
    <x v="5"/>
    <x v="357"/>
    <n v="7"/>
    <n v="2839"/>
  </r>
  <r>
    <d v="2022-05-13T00:00:00"/>
    <x v="2"/>
    <x v="2"/>
    <x v="338"/>
    <x v="5"/>
    <x v="0"/>
    <x v="5"/>
    <x v="410"/>
    <n v="2"/>
    <n v="325"/>
  </r>
  <r>
    <d v="2022-05-14T00:00:00"/>
    <x v="2"/>
    <x v="2"/>
    <x v="339"/>
    <x v="4"/>
    <x v="0"/>
    <x v="11"/>
    <x v="411"/>
    <n v="4"/>
    <n v="2555"/>
  </r>
  <r>
    <d v="2022-05-15T00:00:00"/>
    <x v="2"/>
    <x v="2"/>
    <x v="340"/>
    <x v="1"/>
    <x v="0"/>
    <x v="0"/>
    <x v="412"/>
    <n v="15"/>
    <n v="322"/>
  </r>
  <r>
    <d v="2022-05-16T00:00:00"/>
    <x v="2"/>
    <x v="2"/>
    <x v="341"/>
    <x v="3"/>
    <x v="2"/>
    <x v="8"/>
    <x v="264"/>
    <n v="16"/>
    <n v="277"/>
  </r>
  <r>
    <d v="2022-05-16T00:00:00"/>
    <x v="2"/>
    <x v="2"/>
    <x v="342"/>
    <x v="1"/>
    <x v="0"/>
    <x v="5"/>
    <x v="413"/>
    <n v="3"/>
    <n v="1085"/>
  </r>
  <r>
    <d v="2022-05-16T00:00:00"/>
    <x v="2"/>
    <x v="2"/>
    <x v="342"/>
    <x v="1"/>
    <x v="2"/>
    <x v="8"/>
    <x v="414"/>
    <n v="19"/>
    <n v="576"/>
  </r>
  <r>
    <d v="2022-05-16T00:00:00"/>
    <x v="2"/>
    <x v="2"/>
    <x v="343"/>
    <x v="1"/>
    <x v="0"/>
    <x v="5"/>
    <x v="415"/>
    <n v="12"/>
    <n v="1949"/>
  </r>
  <r>
    <d v="2022-05-16T00:00:00"/>
    <x v="2"/>
    <x v="2"/>
    <x v="343"/>
    <x v="1"/>
    <x v="2"/>
    <x v="3"/>
    <x v="330"/>
    <n v="4"/>
    <n v="965"/>
  </r>
  <r>
    <d v="2022-05-17T00:00:00"/>
    <x v="2"/>
    <x v="2"/>
    <x v="344"/>
    <x v="3"/>
    <x v="0"/>
    <x v="11"/>
    <x v="416"/>
    <n v="19"/>
    <n v="245"/>
  </r>
  <r>
    <d v="2022-05-18T00:00:00"/>
    <x v="2"/>
    <x v="2"/>
    <x v="345"/>
    <x v="4"/>
    <x v="2"/>
    <x v="8"/>
    <x v="417"/>
    <n v="7"/>
    <n v="975"/>
  </r>
  <r>
    <d v="2022-05-23T00:00:00"/>
    <x v="2"/>
    <x v="2"/>
    <x v="346"/>
    <x v="1"/>
    <x v="2"/>
    <x v="8"/>
    <x v="418"/>
    <n v="17"/>
    <n v="355"/>
  </r>
  <r>
    <d v="2022-05-27T00:00:00"/>
    <x v="2"/>
    <x v="2"/>
    <x v="347"/>
    <x v="2"/>
    <x v="1"/>
    <x v="10"/>
    <x v="419"/>
    <n v="19"/>
    <n v="2166"/>
  </r>
  <r>
    <d v="2022-05-27T00:00:00"/>
    <x v="2"/>
    <x v="2"/>
    <x v="347"/>
    <x v="2"/>
    <x v="0"/>
    <x v="0"/>
    <x v="420"/>
    <n v="20"/>
    <n v="318"/>
  </r>
  <r>
    <d v="2022-05-30T00:00:00"/>
    <x v="2"/>
    <x v="2"/>
    <x v="348"/>
    <x v="2"/>
    <x v="0"/>
    <x v="5"/>
    <x v="421"/>
    <n v="19"/>
    <n v="1888"/>
  </r>
  <r>
    <d v="2022-05-30T00:00:00"/>
    <x v="2"/>
    <x v="2"/>
    <x v="348"/>
    <x v="2"/>
    <x v="2"/>
    <x v="8"/>
    <x v="422"/>
    <n v="11"/>
    <n v="3275"/>
  </r>
  <r>
    <d v="2022-05-30T00:00:00"/>
    <x v="2"/>
    <x v="2"/>
    <x v="348"/>
    <x v="2"/>
    <x v="0"/>
    <x v="11"/>
    <x v="423"/>
    <n v="13"/>
    <n v="809"/>
  </r>
  <r>
    <d v="2022-06-04T00:00:00"/>
    <x v="2"/>
    <x v="3"/>
    <x v="349"/>
    <x v="5"/>
    <x v="0"/>
    <x v="11"/>
    <x v="424"/>
    <n v="2"/>
    <n v="2609"/>
  </r>
  <r>
    <d v="2022-06-04T00:00:00"/>
    <x v="2"/>
    <x v="3"/>
    <x v="349"/>
    <x v="5"/>
    <x v="1"/>
    <x v="6"/>
    <x v="425"/>
    <n v="12"/>
    <n v="3089"/>
  </r>
  <r>
    <d v="2022-06-05T00:00:00"/>
    <x v="2"/>
    <x v="3"/>
    <x v="350"/>
    <x v="1"/>
    <x v="0"/>
    <x v="0"/>
    <x v="42"/>
    <n v="2"/>
    <n v="713"/>
  </r>
  <r>
    <d v="2022-06-06T00:00:00"/>
    <x v="2"/>
    <x v="3"/>
    <x v="351"/>
    <x v="0"/>
    <x v="1"/>
    <x v="10"/>
    <x v="301"/>
    <n v="19"/>
    <n v="1001"/>
  </r>
  <r>
    <d v="2022-06-06T00:00:00"/>
    <x v="2"/>
    <x v="3"/>
    <x v="351"/>
    <x v="0"/>
    <x v="2"/>
    <x v="7"/>
    <x v="302"/>
    <n v="10"/>
    <n v="1920"/>
  </r>
  <r>
    <d v="2022-06-08T00:00:00"/>
    <x v="2"/>
    <x v="3"/>
    <x v="352"/>
    <x v="0"/>
    <x v="0"/>
    <x v="11"/>
    <x v="426"/>
    <n v="17"/>
    <n v="575"/>
  </r>
  <r>
    <d v="2022-06-08T00:00:00"/>
    <x v="2"/>
    <x v="3"/>
    <x v="352"/>
    <x v="0"/>
    <x v="0"/>
    <x v="0"/>
    <x v="427"/>
    <n v="16"/>
    <n v="515"/>
  </r>
  <r>
    <d v="2022-06-09T00:00:00"/>
    <x v="2"/>
    <x v="3"/>
    <x v="353"/>
    <x v="5"/>
    <x v="2"/>
    <x v="3"/>
    <x v="428"/>
    <n v="10"/>
    <n v="2317"/>
  </r>
  <r>
    <d v="2022-06-10T00:00:00"/>
    <x v="2"/>
    <x v="3"/>
    <x v="354"/>
    <x v="4"/>
    <x v="2"/>
    <x v="8"/>
    <x v="303"/>
    <n v="16"/>
    <n v="2571"/>
  </r>
  <r>
    <d v="2022-06-10T00:00:00"/>
    <x v="2"/>
    <x v="3"/>
    <x v="354"/>
    <x v="4"/>
    <x v="1"/>
    <x v="9"/>
    <x v="304"/>
    <n v="13"/>
    <n v="3056"/>
  </r>
  <r>
    <d v="2022-06-10T00:00:00"/>
    <x v="2"/>
    <x v="3"/>
    <x v="354"/>
    <x v="4"/>
    <x v="2"/>
    <x v="7"/>
    <x v="305"/>
    <n v="14"/>
    <n v="1221"/>
  </r>
  <r>
    <d v="2022-06-13T00:00:00"/>
    <x v="2"/>
    <x v="3"/>
    <x v="355"/>
    <x v="1"/>
    <x v="0"/>
    <x v="11"/>
    <x v="429"/>
    <n v="13"/>
    <n v="258"/>
  </r>
  <r>
    <d v="2022-06-13T00:00:00"/>
    <x v="2"/>
    <x v="3"/>
    <x v="355"/>
    <x v="1"/>
    <x v="0"/>
    <x v="11"/>
    <x v="430"/>
    <n v="17"/>
    <n v="3055"/>
  </r>
  <r>
    <d v="2022-06-13T00:00:00"/>
    <x v="2"/>
    <x v="3"/>
    <x v="355"/>
    <x v="1"/>
    <x v="2"/>
    <x v="7"/>
    <x v="431"/>
    <n v="15"/>
    <n v="2021"/>
  </r>
  <r>
    <d v="2022-06-18T00:00:00"/>
    <x v="2"/>
    <x v="3"/>
    <x v="356"/>
    <x v="1"/>
    <x v="0"/>
    <x v="5"/>
    <x v="432"/>
    <n v="11"/>
    <n v="322"/>
  </r>
  <r>
    <d v="2022-06-18T00:00:00"/>
    <x v="2"/>
    <x v="3"/>
    <x v="356"/>
    <x v="1"/>
    <x v="1"/>
    <x v="6"/>
    <x v="433"/>
    <n v="18"/>
    <n v="2702"/>
  </r>
  <r>
    <d v="2022-06-19T00:00:00"/>
    <x v="2"/>
    <x v="3"/>
    <x v="357"/>
    <x v="1"/>
    <x v="0"/>
    <x v="2"/>
    <x v="434"/>
    <n v="20"/>
    <n v="186"/>
  </r>
  <r>
    <d v="2022-06-19T00:00:00"/>
    <x v="2"/>
    <x v="3"/>
    <x v="357"/>
    <x v="1"/>
    <x v="2"/>
    <x v="7"/>
    <x v="435"/>
    <n v="20"/>
    <n v="189"/>
  </r>
  <r>
    <d v="2022-06-24T00:00:00"/>
    <x v="2"/>
    <x v="3"/>
    <x v="358"/>
    <x v="1"/>
    <x v="2"/>
    <x v="3"/>
    <x v="436"/>
    <n v="16"/>
    <n v="3858"/>
  </r>
  <r>
    <d v="2022-06-24T00:00:00"/>
    <x v="2"/>
    <x v="3"/>
    <x v="358"/>
    <x v="1"/>
    <x v="1"/>
    <x v="1"/>
    <x v="437"/>
    <n v="7"/>
    <n v="292"/>
  </r>
  <r>
    <d v="2022-06-24T00:00:00"/>
    <x v="2"/>
    <x v="3"/>
    <x v="358"/>
    <x v="1"/>
    <x v="2"/>
    <x v="7"/>
    <x v="438"/>
    <n v="17"/>
    <n v="662"/>
  </r>
  <r>
    <d v="2022-06-27T00:00:00"/>
    <x v="2"/>
    <x v="3"/>
    <x v="359"/>
    <x v="0"/>
    <x v="0"/>
    <x v="0"/>
    <x v="192"/>
    <n v="5"/>
    <n v="727"/>
  </r>
  <r>
    <d v="2022-06-27T00:00:00"/>
    <x v="2"/>
    <x v="3"/>
    <x v="360"/>
    <x v="5"/>
    <x v="1"/>
    <x v="6"/>
    <x v="439"/>
    <n v="1"/>
    <n v="4111"/>
  </r>
  <r>
    <d v="2022-06-27T00:00:00"/>
    <x v="2"/>
    <x v="3"/>
    <x v="360"/>
    <x v="5"/>
    <x v="1"/>
    <x v="10"/>
    <x v="440"/>
    <n v="20"/>
    <n v="1065"/>
  </r>
  <r>
    <d v="2022-06-29T00:00:00"/>
    <x v="2"/>
    <x v="3"/>
    <x v="361"/>
    <x v="0"/>
    <x v="1"/>
    <x v="1"/>
    <x v="23"/>
    <n v="14"/>
    <n v="3099"/>
  </r>
  <r>
    <d v="2022-06-29T00:00:00"/>
    <x v="2"/>
    <x v="3"/>
    <x v="361"/>
    <x v="0"/>
    <x v="0"/>
    <x v="0"/>
    <x v="441"/>
    <n v="14"/>
    <n v="696"/>
  </r>
  <r>
    <d v="2022-06-29T00:00:00"/>
    <x v="2"/>
    <x v="3"/>
    <x v="361"/>
    <x v="0"/>
    <x v="2"/>
    <x v="4"/>
    <x v="442"/>
    <n v="17"/>
    <n v="3132"/>
  </r>
  <r>
    <d v="2022-07-04T00:00:00"/>
    <x v="2"/>
    <x v="4"/>
    <x v="362"/>
    <x v="4"/>
    <x v="2"/>
    <x v="8"/>
    <x v="443"/>
    <n v="19"/>
    <n v="865"/>
  </r>
  <r>
    <d v="2022-07-04T00:00:00"/>
    <x v="2"/>
    <x v="4"/>
    <x v="362"/>
    <x v="4"/>
    <x v="2"/>
    <x v="8"/>
    <x v="444"/>
    <n v="7"/>
    <n v="875"/>
  </r>
  <r>
    <d v="2022-07-05T00:00:00"/>
    <x v="2"/>
    <x v="4"/>
    <x v="363"/>
    <x v="1"/>
    <x v="1"/>
    <x v="9"/>
    <x v="445"/>
    <n v="7"/>
    <n v="1665"/>
  </r>
  <r>
    <d v="2022-07-13T00:00:00"/>
    <x v="2"/>
    <x v="4"/>
    <x v="364"/>
    <x v="1"/>
    <x v="2"/>
    <x v="8"/>
    <x v="20"/>
    <n v="14"/>
    <n v="2088"/>
  </r>
  <r>
    <d v="2022-07-15T00:00:00"/>
    <x v="2"/>
    <x v="4"/>
    <x v="365"/>
    <x v="3"/>
    <x v="2"/>
    <x v="8"/>
    <x v="446"/>
    <n v="18"/>
    <n v="148"/>
  </r>
  <r>
    <d v="2022-07-15T00:00:00"/>
    <x v="2"/>
    <x v="4"/>
    <x v="365"/>
    <x v="3"/>
    <x v="1"/>
    <x v="1"/>
    <x v="447"/>
    <n v="12"/>
    <n v="286"/>
  </r>
  <r>
    <d v="2022-07-16T00:00:00"/>
    <x v="2"/>
    <x v="4"/>
    <x v="366"/>
    <x v="3"/>
    <x v="2"/>
    <x v="4"/>
    <x v="448"/>
    <n v="14"/>
    <n v="559"/>
  </r>
  <r>
    <d v="2022-07-16T00:00:00"/>
    <x v="2"/>
    <x v="4"/>
    <x v="367"/>
    <x v="2"/>
    <x v="0"/>
    <x v="2"/>
    <x v="449"/>
    <n v="17"/>
    <n v="2498"/>
  </r>
  <r>
    <d v="2022-07-17T00:00:00"/>
    <x v="2"/>
    <x v="4"/>
    <x v="368"/>
    <x v="1"/>
    <x v="0"/>
    <x v="2"/>
    <x v="450"/>
    <n v="4"/>
    <n v="265"/>
  </r>
  <r>
    <d v="2022-07-17T00:00:00"/>
    <x v="2"/>
    <x v="4"/>
    <x v="368"/>
    <x v="1"/>
    <x v="2"/>
    <x v="7"/>
    <x v="451"/>
    <n v="10"/>
    <n v="543"/>
  </r>
  <r>
    <d v="2022-07-18T00:00:00"/>
    <x v="2"/>
    <x v="4"/>
    <x v="369"/>
    <x v="4"/>
    <x v="0"/>
    <x v="0"/>
    <x v="452"/>
    <n v="19"/>
    <n v="3720"/>
  </r>
  <r>
    <d v="2022-07-22T00:00:00"/>
    <x v="2"/>
    <x v="4"/>
    <x v="370"/>
    <x v="1"/>
    <x v="0"/>
    <x v="0"/>
    <x v="453"/>
    <n v="20"/>
    <n v="80"/>
  </r>
  <r>
    <d v="2022-07-23T00:00:00"/>
    <x v="2"/>
    <x v="4"/>
    <x v="371"/>
    <x v="0"/>
    <x v="1"/>
    <x v="10"/>
    <x v="454"/>
    <n v="18"/>
    <n v="298"/>
  </r>
  <r>
    <d v="2022-07-25T00:00:00"/>
    <x v="2"/>
    <x v="4"/>
    <x v="372"/>
    <x v="2"/>
    <x v="2"/>
    <x v="3"/>
    <x v="409"/>
    <n v="17"/>
    <n v="1246"/>
  </r>
  <r>
    <d v="2022-07-26T00:00:00"/>
    <x v="2"/>
    <x v="4"/>
    <x v="373"/>
    <x v="3"/>
    <x v="0"/>
    <x v="11"/>
    <x v="455"/>
    <n v="6"/>
    <n v="936"/>
  </r>
  <r>
    <d v="2022-07-28T00:00:00"/>
    <x v="2"/>
    <x v="4"/>
    <x v="374"/>
    <x v="0"/>
    <x v="2"/>
    <x v="7"/>
    <x v="243"/>
    <n v="15"/>
    <n v="914"/>
  </r>
  <r>
    <d v="2022-08-01T00:00:00"/>
    <x v="2"/>
    <x v="5"/>
    <x v="375"/>
    <x v="4"/>
    <x v="2"/>
    <x v="7"/>
    <x v="364"/>
    <n v="20"/>
    <n v="2598"/>
  </r>
  <r>
    <d v="2022-08-08T00:00:00"/>
    <x v="2"/>
    <x v="5"/>
    <x v="376"/>
    <x v="3"/>
    <x v="1"/>
    <x v="1"/>
    <x v="456"/>
    <n v="18"/>
    <n v="4401"/>
  </r>
  <r>
    <d v="2022-08-09T00:00:00"/>
    <x v="2"/>
    <x v="5"/>
    <x v="377"/>
    <x v="1"/>
    <x v="2"/>
    <x v="3"/>
    <x v="457"/>
    <n v="5"/>
    <n v="2204"/>
  </r>
  <r>
    <d v="2022-08-10T00:00:00"/>
    <x v="2"/>
    <x v="5"/>
    <x v="378"/>
    <x v="0"/>
    <x v="1"/>
    <x v="9"/>
    <x v="458"/>
    <n v="18"/>
    <n v="3968"/>
  </r>
  <r>
    <d v="2022-08-10T00:00:00"/>
    <x v="2"/>
    <x v="5"/>
    <x v="378"/>
    <x v="0"/>
    <x v="2"/>
    <x v="3"/>
    <x v="459"/>
    <n v="14"/>
    <n v="251"/>
  </r>
  <r>
    <d v="2022-08-11T00:00:00"/>
    <x v="2"/>
    <x v="5"/>
    <x v="379"/>
    <x v="2"/>
    <x v="1"/>
    <x v="6"/>
    <x v="112"/>
    <n v="16"/>
    <n v="4812"/>
  </r>
  <r>
    <d v="2022-08-11T00:00:00"/>
    <x v="2"/>
    <x v="5"/>
    <x v="379"/>
    <x v="2"/>
    <x v="1"/>
    <x v="6"/>
    <x v="113"/>
    <n v="7"/>
    <n v="1185"/>
  </r>
  <r>
    <d v="2022-08-11T00:00:00"/>
    <x v="2"/>
    <x v="5"/>
    <x v="380"/>
    <x v="4"/>
    <x v="1"/>
    <x v="1"/>
    <x v="399"/>
    <n v="2"/>
    <n v="941"/>
  </r>
  <r>
    <d v="2022-08-11T00:00:00"/>
    <x v="2"/>
    <x v="5"/>
    <x v="381"/>
    <x v="5"/>
    <x v="0"/>
    <x v="5"/>
    <x v="460"/>
    <n v="18"/>
    <n v="893"/>
  </r>
  <r>
    <d v="2022-08-11T00:00:00"/>
    <x v="2"/>
    <x v="5"/>
    <x v="381"/>
    <x v="5"/>
    <x v="2"/>
    <x v="7"/>
    <x v="461"/>
    <n v="8"/>
    <n v="1447"/>
  </r>
  <r>
    <d v="2022-08-12T00:00:00"/>
    <x v="2"/>
    <x v="5"/>
    <x v="382"/>
    <x v="2"/>
    <x v="0"/>
    <x v="11"/>
    <x v="462"/>
    <n v="4"/>
    <n v="615"/>
  </r>
  <r>
    <d v="2022-08-12T00:00:00"/>
    <x v="2"/>
    <x v="5"/>
    <x v="383"/>
    <x v="3"/>
    <x v="0"/>
    <x v="5"/>
    <x v="460"/>
    <n v="18"/>
    <n v="893"/>
  </r>
  <r>
    <d v="2022-08-12T00:00:00"/>
    <x v="2"/>
    <x v="5"/>
    <x v="383"/>
    <x v="3"/>
    <x v="2"/>
    <x v="7"/>
    <x v="461"/>
    <n v="8"/>
    <n v="1447"/>
  </r>
  <r>
    <d v="2022-08-17T00:00:00"/>
    <x v="2"/>
    <x v="5"/>
    <x v="384"/>
    <x v="5"/>
    <x v="2"/>
    <x v="8"/>
    <x v="303"/>
    <n v="16"/>
    <n v="2571"/>
  </r>
  <r>
    <d v="2022-08-17T00:00:00"/>
    <x v="2"/>
    <x v="5"/>
    <x v="384"/>
    <x v="5"/>
    <x v="1"/>
    <x v="9"/>
    <x v="304"/>
    <n v="13"/>
    <n v="3056"/>
  </r>
  <r>
    <d v="2022-08-17T00:00:00"/>
    <x v="2"/>
    <x v="5"/>
    <x v="384"/>
    <x v="5"/>
    <x v="2"/>
    <x v="7"/>
    <x v="305"/>
    <n v="14"/>
    <n v="1221"/>
  </r>
  <r>
    <d v="2022-08-19T00:00:00"/>
    <x v="2"/>
    <x v="5"/>
    <x v="385"/>
    <x v="5"/>
    <x v="0"/>
    <x v="5"/>
    <x v="463"/>
    <n v="18"/>
    <n v="135"/>
  </r>
  <r>
    <d v="2022-08-20T00:00:00"/>
    <x v="2"/>
    <x v="5"/>
    <x v="386"/>
    <x v="5"/>
    <x v="2"/>
    <x v="7"/>
    <x v="464"/>
    <n v="14"/>
    <n v="2333"/>
  </r>
  <r>
    <d v="2022-08-20T00:00:00"/>
    <x v="2"/>
    <x v="5"/>
    <x v="386"/>
    <x v="5"/>
    <x v="1"/>
    <x v="9"/>
    <x v="465"/>
    <n v="11"/>
    <n v="738"/>
  </r>
  <r>
    <d v="2022-08-21T00:00:00"/>
    <x v="2"/>
    <x v="5"/>
    <x v="387"/>
    <x v="5"/>
    <x v="1"/>
    <x v="10"/>
    <x v="242"/>
    <n v="1"/>
    <n v="829"/>
  </r>
  <r>
    <d v="2022-08-21T00:00:00"/>
    <x v="2"/>
    <x v="5"/>
    <x v="387"/>
    <x v="5"/>
    <x v="2"/>
    <x v="8"/>
    <x v="466"/>
    <n v="4"/>
    <n v="2235"/>
  </r>
  <r>
    <d v="2022-08-21T00:00:00"/>
    <x v="2"/>
    <x v="5"/>
    <x v="388"/>
    <x v="1"/>
    <x v="0"/>
    <x v="2"/>
    <x v="467"/>
    <n v="18"/>
    <n v="2378"/>
  </r>
  <r>
    <d v="2022-08-22T00:00:00"/>
    <x v="2"/>
    <x v="5"/>
    <x v="389"/>
    <x v="2"/>
    <x v="1"/>
    <x v="6"/>
    <x v="231"/>
    <n v="5"/>
    <n v="235"/>
  </r>
  <r>
    <d v="2022-08-23T00:00:00"/>
    <x v="2"/>
    <x v="5"/>
    <x v="390"/>
    <x v="0"/>
    <x v="1"/>
    <x v="10"/>
    <x v="468"/>
    <n v="13"/>
    <n v="145"/>
  </r>
  <r>
    <d v="2022-08-23T00:00:00"/>
    <x v="2"/>
    <x v="5"/>
    <x v="390"/>
    <x v="0"/>
    <x v="1"/>
    <x v="6"/>
    <x v="469"/>
    <n v="20"/>
    <n v="1916"/>
  </r>
  <r>
    <d v="2022-08-23T00:00:00"/>
    <x v="2"/>
    <x v="5"/>
    <x v="391"/>
    <x v="3"/>
    <x v="2"/>
    <x v="3"/>
    <x v="190"/>
    <n v="8"/>
    <n v="155"/>
  </r>
  <r>
    <d v="2022-08-25T00:00:00"/>
    <x v="2"/>
    <x v="5"/>
    <x v="392"/>
    <x v="5"/>
    <x v="0"/>
    <x v="2"/>
    <x v="138"/>
    <n v="14"/>
    <n v="2045"/>
  </r>
  <r>
    <d v="2022-08-28T00:00:00"/>
    <x v="2"/>
    <x v="5"/>
    <x v="393"/>
    <x v="5"/>
    <x v="2"/>
    <x v="4"/>
    <x v="86"/>
    <n v="15"/>
    <n v="1751"/>
  </r>
  <r>
    <d v="2022-08-28T00:00:00"/>
    <x v="2"/>
    <x v="5"/>
    <x v="394"/>
    <x v="2"/>
    <x v="2"/>
    <x v="3"/>
    <x v="470"/>
    <n v="19"/>
    <n v="1743"/>
  </r>
  <r>
    <d v="2022-08-29T00:00:00"/>
    <x v="2"/>
    <x v="5"/>
    <x v="395"/>
    <x v="1"/>
    <x v="1"/>
    <x v="1"/>
    <x v="283"/>
    <n v="20"/>
    <n v="3696"/>
  </r>
  <r>
    <d v="2022-08-29T00:00:00"/>
    <x v="2"/>
    <x v="5"/>
    <x v="395"/>
    <x v="1"/>
    <x v="1"/>
    <x v="10"/>
    <x v="284"/>
    <n v="7"/>
    <n v="3420"/>
  </r>
  <r>
    <d v="2022-08-30T00:00:00"/>
    <x v="2"/>
    <x v="5"/>
    <x v="396"/>
    <x v="4"/>
    <x v="1"/>
    <x v="1"/>
    <x v="296"/>
    <n v="9"/>
    <n v="1764"/>
  </r>
  <r>
    <d v="2022-08-30T00:00:00"/>
    <x v="2"/>
    <x v="5"/>
    <x v="397"/>
    <x v="0"/>
    <x v="0"/>
    <x v="0"/>
    <x v="234"/>
    <n v="14"/>
    <n v="897"/>
  </r>
  <r>
    <d v="2022-09-03T00:00:00"/>
    <x v="2"/>
    <x v="6"/>
    <x v="398"/>
    <x v="3"/>
    <x v="0"/>
    <x v="2"/>
    <x v="103"/>
    <n v="3"/>
    <n v="309"/>
  </r>
  <r>
    <d v="2022-09-12T00:00:00"/>
    <x v="2"/>
    <x v="6"/>
    <x v="399"/>
    <x v="5"/>
    <x v="0"/>
    <x v="11"/>
    <x v="471"/>
    <n v="6"/>
    <n v="1012"/>
  </r>
  <r>
    <d v="2022-09-16T00:00:00"/>
    <x v="2"/>
    <x v="6"/>
    <x v="400"/>
    <x v="0"/>
    <x v="2"/>
    <x v="3"/>
    <x v="166"/>
    <n v="13"/>
    <n v="2211"/>
  </r>
  <r>
    <d v="2022-09-16T00:00:00"/>
    <x v="2"/>
    <x v="6"/>
    <x v="401"/>
    <x v="1"/>
    <x v="1"/>
    <x v="9"/>
    <x v="472"/>
    <n v="13"/>
    <n v="3586"/>
  </r>
  <r>
    <d v="2022-09-19T00:00:00"/>
    <x v="2"/>
    <x v="6"/>
    <x v="402"/>
    <x v="3"/>
    <x v="2"/>
    <x v="8"/>
    <x v="473"/>
    <n v="18"/>
    <n v="648"/>
  </r>
  <r>
    <d v="2022-09-22T00:00:00"/>
    <x v="2"/>
    <x v="6"/>
    <x v="403"/>
    <x v="2"/>
    <x v="0"/>
    <x v="0"/>
    <x v="387"/>
    <n v="19"/>
    <n v="2669"/>
  </r>
  <r>
    <d v="2022-09-22T00:00:00"/>
    <x v="2"/>
    <x v="6"/>
    <x v="403"/>
    <x v="2"/>
    <x v="2"/>
    <x v="8"/>
    <x v="388"/>
    <n v="14"/>
    <n v="3930"/>
  </r>
  <r>
    <d v="2022-09-22T00:00:00"/>
    <x v="2"/>
    <x v="6"/>
    <x v="404"/>
    <x v="0"/>
    <x v="1"/>
    <x v="1"/>
    <x v="202"/>
    <n v="13"/>
    <n v="584"/>
  </r>
  <r>
    <d v="2022-09-29T00:00:00"/>
    <x v="2"/>
    <x v="6"/>
    <x v="405"/>
    <x v="1"/>
    <x v="1"/>
    <x v="6"/>
    <x v="474"/>
    <n v="9"/>
    <n v="476"/>
  </r>
  <r>
    <d v="2022-10-04T00:00:00"/>
    <x v="2"/>
    <x v="7"/>
    <x v="406"/>
    <x v="0"/>
    <x v="2"/>
    <x v="4"/>
    <x v="475"/>
    <n v="6"/>
    <n v="505"/>
  </r>
  <r>
    <d v="2022-10-06T00:00:00"/>
    <x v="2"/>
    <x v="7"/>
    <x v="407"/>
    <x v="2"/>
    <x v="0"/>
    <x v="2"/>
    <x v="476"/>
    <n v="2"/>
    <n v="2389"/>
  </r>
  <r>
    <d v="2022-10-07T00:00:00"/>
    <x v="2"/>
    <x v="7"/>
    <x v="408"/>
    <x v="2"/>
    <x v="2"/>
    <x v="3"/>
    <x v="477"/>
    <n v="15"/>
    <n v="630"/>
  </r>
  <r>
    <d v="2022-10-07T00:00:00"/>
    <x v="2"/>
    <x v="7"/>
    <x v="408"/>
    <x v="2"/>
    <x v="2"/>
    <x v="8"/>
    <x v="478"/>
    <n v="1"/>
    <n v="963"/>
  </r>
  <r>
    <d v="2022-10-07T00:00:00"/>
    <x v="2"/>
    <x v="7"/>
    <x v="409"/>
    <x v="5"/>
    <x v="1"/>
    <x v="1"/>
    <x v="479"/>
    <n v="1"/>
    <n v="1270"/>
  </r>
  <r>
    <d v="2022-10-07T00:00:00"/>
    <x v="2"/>
    <x v="7"/>
    <x v="409"/>
    <x v="5"/>
    <x v="1"/>
    <x v="1"/>
    <x v="480"/>
    <n v="15"/>
    <n v="153"/>
  </r>
  <r>
    <d v="2022-10-07T00:00:00"/>
    <x v="2"/>
    <x v="7"/>
    <x v="410"/>
    <x v="5"/>
    <x v="1"/>
    <x v="9"/>
    <x v="152"/>
    <n v="3"/>
    <n v="3634"/>
  </r>
  <r>
    <d v="2022-10-08T00:00:00"/>
    <x v="2"/>
    <x v="7"/>
    <x v="411"/>
    <x v="4"/>
    <x v="0"/>
    <x v="11"/>
    <x v="168"/>
    <n v="14"/>
    <n v="894"/>
  </r>
  <r>
    <d v="2022-10-08T00:00:00"/>
    <x v="2"/>
    <x v="7"/>
    <x v="411"/>
    <x v="4"/>
    <x v="2"/>
    <x v="3"/>
    <x v="169"/>
    <n v="3"/>
    <n v="1478"/>
  </r>
  <r>
    <d v="2022-10-08T00:00:00"/>
    <x v="2"/>
    <x v="7"/>
    <x v="411"/>
    <x v="4"/>
    <x v="2"/>
    <x v="4"/>
    <x v="170"/>
    <n v="17"/>
    <n v="3121"/>
  </r>
  <r>
    <d v="2022-10-08T00:00:00"/>
    <x v="2"/>
    <x v="7"/>
    <x v="411"/>
    <x v="4"/>
    <x v="0"/>
    <x v="2"/>
    <x v="171"/>
    <n v="12"/>
    <n v="102"/>
  </r>
  <r>
    <d v="2022-10-12T00:00:00"/>
    <x v="2"/>
    <x v="7"/>
    <x v="412"/>
    <x v="5"/>
    <x v="1"/>
    <x v="6"/>
    <x v="481"/>
    <n v="14"/>
    <n v="402"/>
  </r>
  <r>
    <d v="2022-10-12T00:00:00"/>
    <x v="2"/>
    <x v="7"/>
    <x v="412"/>
    <x v="5"/>
    <x v="0"/>
    <x v="0"/>
    <x v="482"/>
    <n v="13"/>
    <n v="674"/>
  </r>
  <r>
    <d v="2022-10-12T00:00:00"/>
    <x v="2"/>
    <x v="7"/>
    <x v="365"/>
    <x v="1"/>
    <x v="1"/>
    <x v="1"/>
    <x v="17"/>
    <n v="7"/>
    <n v="562"/>
  </r>
  <r>
    <d v="2022-10-12T00:00:00"/>
    <x v="2"/>
    <x v="7"/>
    <x v="365"/>
    <x v="1"/>
    <x v="0"/>
    <x v="2"/>
    <x v="18"/>
    <n v="10"/>
    <n v="661"/>
  </r>
  <r>
    <d v="2022-10-19T00:00:00"/>
    <x v="2"/>
    <x v="7"/>
    <x v="413"/>
    <x v="2"/>
    <x v="0"/>
    <x v="5"/>
    <x v="483"/>
    <n v="11"/>
    <n v="2656"/>
  </r>
  <r>
    <d v="2022-10-20T00:00:00"/>
    <x v="2"/>
    <x v="7"/>
    <x v="414"/>
    <x v="0"/>
    <x v="1"/>
    <x v="6"/>
    <x v="484"/>
    <n v="3"/>
    <n v="1037"/>
  </r>
  <r>
    <d v="2022-10-20T00:00:00"/>
    <x v="2"/>
    <x v="7"/>
    <x v="414"/>
    <x v="0"/>
    <x v="0"/>
    <x v="5"/>
    <x v="485"/>
    <n v="9"/>
    <n v="1806"/>
  </r>
  <r>
    <d v="2022-10-20T00:00:00"/>
    <x v="2"/>
    <x v="7"/>
    <x v="415"/>
    <x v="3"/>
    <x v="1"/>
    <x v="9"/>
    <x v="75"/>
    <n v="20"/>
    <n v="2555"/>
  </r>
  <r>
    <d v="2022-10-21T00:00:00"/>
    <x v="2"/>
    <x v="7"/>
    <x v="416"/>
    <x v="0"/>
    <x v="1"/>
    <x v="1"/>
    <x v="114"/>
    <n v="7"/>
    <n v="362"/>
  </r>
  <r>
    <d v="2022-10-21T00:00:00"/>
    <x v="2"/>
    <x v="7"/>
    <x v="416"/>
    <x v="0"/>
    <x v="2"/>
    <x v="3"/>
    <x v="115"/>
    <n v="20"/>
    <n v="302"/>
  </r>
  <r>
    <d v="2022-10-21T00:00:00"/>
    <x v="2"/>
    <x v="7"/>
    <x v="416"/>
    <x v="0"/>
    <x v="2"/>
    <x v="4"/>
    <x v="116"/>
    <n v="12"/>
    <n v="677"/>
  </r>
  <r>
    <d v="2022-10-22T00:00:00"/>
    <x v="2"/>
    <x v="7"/>
    <x v="417"/>
    <x v="4"/>
    <x v="0"/>
    <x v="5"/>
    <x v="486"/>
    <n v="5"/>
    <n v="1680"/>
  </r>
  <r>
    <d v="2022-10-22T00:00:00"/>
    <x v="2"/>
    <x v="7"/>
    <x v="418"/>
    <x v="4"/>
    <x v="0"/>
    <x v="11"/>
    <x v="268"/>
    <n v="14"/>
    <n v="2640"/>
  </r>
  <r>
    <d v="2022-10-30T00:00:00"/>
    <x v="2"/>
    <x v="7"/>
    <x v="419"/>
    <x v="5"/>
    <x v="1"/>
    <x v="1"/>
    <x v="345"/>
    <n v="20"/>
    <n v="760"/>
  </r>
  <r>
    <d v="2022-10-30T00:00:00"/>
    <x v="2"/>
    <x v="7"/>
    <x v="420"/>
    <x v="2"/>
    <x v="1"/>
    <x v="10"/>
    <x v="487"/>
    <n v="1"/>
    <n v="2305"/>
  </r>
  <r>
    <d v="2022-10-31T00:00:00"/>
    <x v="2"/>
    <x v="7"/>
    <x v="421"/>
    <x v="1"/>
    <x v="1"/>
    <x v="9"/>
    <x v="488"/>
    <n v="3"/>
    <n v="1171"/>
  </r>
  <r>
    <d v="2022-10-31T00:00:00"/>
    <x v="2"/>
    <x v="7"/>
    <x v="422"/>
    <x v="0"/>
    <x v="2"/>
    <x v="7"/>
    <x v="489"/>
    <n v="5"/>
    <n v="3618"/>
  </r>
  <r>
    <d v="2022-11-03T00:00:00"/>
    <x v="2"/>
    <x v="8"/>
    <x v="423"/>
    <x v="4"/>
    <x v="0"/>
    <x v="5"/>
    <x v="490"/>
    <n v="12"/>
    <n v="673"/>
  </r>
  <r>
    <d v="2022-11-07T00:00:00"/>
    <x v="2"/>
    <x v="8"/>
    <x v="424"/>
    <x v="2"/>
    <x v="0"/>
    <x v="2"/>
    <x v="451"/>
    <n v="8"/>
    <n v="663"/>
  </r>
  <r>
    <d v="2022-11-12T00:00:00"/>
    <x v="2"/>
    <x v="8"/>
    <x v="425"/>
    <x v="0"/>
    <x v="1"/>
    <x v="1"/>
    <x v="491"/>
    <n v="16"/>
    <n v="885"/>
  </r>
  <r>
    <d v="2022-11-12T00:00:00"/>
    <x v="2"/>
    <x v="8"/>
    <x v="425"/>
    <x v="0"/>
    <x v="2"/>
    <x v="7"/>
    <x v="492"/>
    <n v="4"/>
    <n v="2394"/>
  </r>
  <r>
    <d v="2022-11-13T00:00:00"/>
    <x v="2"/>
    <x v="8"/>
    <x v="426"/>
    <x v="4"/>
    <x v="0"/>
    <x v="0"/>
    <x v="493"/>
    <n v="9"/>
    <n v="1100"/>
  </r>
  <r>
    <d v="2022-11-16T00:00:00"/>
    <x v="2"/>
    <x v="8"/>
    <x v="427"/>
    <x v="5"/>
    <x v="1"/>
    <x v="1"/>
    <x v="494"/>
    <n v="17"/>
    <n v="1574"/>
  </r>
  <r>
    <d v="2022-11-18T00:00:00"/>
    <x v="2"/>
    <x v="8"/>
    <x v="428"/>
    <x v="5"/>
    <x v="0"/>
    <x v="11"/>
    <x v="495"/>
    <n v="10"/>
    <n v="117"/>
  </r>
  <r>
    <d v="2022-11-18T00:00:00"/>
    <x v="2"/>
    <x v="8"/>
    <x v="428"/>
    <x v="5"/>
    <x v="2"/>
    <x v="8"/>
    <x v="496"/>
    <n v="16"/>
    <n v="3551"/>
  </r>
  <r>
    <d v="2022-11-20T00:00:00"/>
    <x v="2"/>
    <x v="8"/>
    <x v="429"/>
    <x v="0"/>
    <x v="2"/>
    <x v="4"/>
    <x v="390"/>
    <n v="10"/>
    <n v="622"/>
  </r>
  <r>
    <d v="2022-11-23T00:00:00"/>
    <x v="2"/>
    <x v="8"/>
    <x v="430"/>
    <x v="0"/>
    <x v="1"/>
    <x v="9"/>
    <x v="488"/>
    <n v="3"/>
    <n v="1171"/>
  </r>
  <r>
    <d v="2022-12-03T00:00:00"/>
    <x v="2"/>
    <x v="9"/>
    <x v="431"/>
    <x v="0"/>
    <x v="1"/>
    <x v="6"/>
    <x v="497"/>
    <n v="2"/>
    <n v="379"/>
  </r>
  <r>
    <d v="2022-12-05T00:00:00"/>
    <x v="2"/>
    <x v="9"/>
    <x v="432"/>
    <x v="4"/>
    <x v="0"/>
    <x v="2"/>
    <x v="498"/>
    <n v="19"/>
    <n v="526"/>
  </r>
  <r>
    <d v="2022-12-05T00:00:00"/>
    <x v="2"/>
    <x v="9"/>
    <x v="432"/>
    <x v="4"/>
    <x v="0"/>
    <x v="2"/>
    <x v="499"/>
    <n v="8"/>
    <n v="825"/>
  </r>
  <r>
    <d v="2022-12-05T00:00:00"/>
    <x v="2"/>
    <x v="9"/>
    <x v="433"/>
    <x v="2"/>
    <x v="0"/>
    <x v="0"/>
    <x v="500"/>
    <n v="20"/>
    <n v="983"/>
  </r>
  <r>
    <d v="2022-12-05T00:00:00"/>
    <x v="2"/>
    <x v="9"/>
    <x v="433"/>
    <x v="2"/>
    <x v="1"/>
    <x v="1"/>
    <x v="497"/>
    <n v="19"/>
    <n v="1544"/>
  </r>
  <r>
    <d v="2022-12-07T00:00:00"/>
    <x v="2"/>
    <x v="9"/>
    <x v="434"/>
    <x v="0"/>
    <x v="0"/>
    <x v="2"/>
    <x v="501"/>
    <n v="7"/>
    <n v="2107"/>
  </r>
  <r>
    <d v="2022-12-07T00:00:00"/>
    <x v="2"/>
    <x v="9"/>
    <x v="434"/>
    <x v="0"/>
    <x v="2"/>
    <x v="8"/>
    <x v="502"/>
    <n v="3"/>
    <n v="230"/>
  </r>
  <r>
    <d v="2022-12-07T00:00:00"/>
    <x v="2"/>
    <x v="9"/>
    <x v="434"/>
    <x v="0"/>
    <x v="2"/>
    <x v="3"/>
    <x v="503"/>
    <n v="7"/>
    <n v="525"/>
  </r>
  <r>
    <d v="2022-12-07T00:00:00"/>
    <x v="2"/>
    <x v="9"/>
    <x v="434"/>
    <x v="0"/>
    <x v="2"/>
    <x v="3"/>
    <x v="504"/>
    <n v="18"/>
    <n v="586"/>
  </r>
  <r>
    <d v="2022-12-08T00:00:00"/>
    <x v="2"/>
    <x v="9"/>
    <x v="435"/>
    <x v="4"/>
    <x v="2"/>
    <x v="3"/>
    <x v="505"/>
    <n v="18"/>
    <n v="1423"/>
  </r>
  <r>
    <d v="2022-12-08T00:00:00"/>
    <x v="2"/>
    <x v="9"/>
    <x v="436"/>
    <x v="2"/>
    <x v="0"/>
    <x v="2"/>
    <x v="377"/>
    <n v="18"/>
    <n v="379"/>
  </r>
  <r>
    <d v="2022-12-08T00:00:00"/>
    <x v="2"/>
    <x v="9"/>
    <x v="436"/>
    <x v="2"/>
    <x v="2"/>
    <x v="4"/>
    <x v="378"/>
    <n v="14"/>
    <n v="4602"/>
  </r>
  <r>
    <d v="2022-12-08T00:00:00"/>
    <x v="2"/>
    <x v="9"/>
    <x v="436"/>
    <x v="2"/>
    <x v="0"/>
    <x v="0"/>
    <x v="379"/>
    <n v="14"/>
    <n v="50"/>
  </r>
  <r>
    <d v="2022-12-08T00:00:00"/>
    <x v="2"/>
    <x v="9"/>
    <x v="436"/>
    <x v="2"/>
    <x v="1"/>
    <x v="9"/>
    <x v="380"/>
    <n v="8"/>
    <n v="2135"/>
  </r>
  <r>
    <d v="2022-12-08T00:00:00"/>
    <x v="2"/>
    <x v="9"/>
    <x v="437"/>
    <x v="1"/>
    <x v="1"/>
    <x v="9"/>
    <x v="64"/>
    <n v="5"/>
    <n v="410"/>
  </r>
  <r>
    <d v="2022-12-08T00:00:00"/>
    <x v="2"/>
    <x v="9"/>
    <x v="437"/>
    <x v="1"/>
    <x v="1"/>
    <x v="10"/>
    <x v="65"/>
    <n v="4"/>
    <n v="534"/>
  </r>
  <r>
    <d v="2022-12-08T00:00:00"/>
    <x v="2"/>
    <x v="9"/>
    <x v="438"/>
    <x v="0"/>
    <x v="0"/>
    <x v="11"/>
    <x v="506"/>
    <n v="10"/>
    <n v="1969"/>
  </r>
  <r>
    <d v="2022-12-12T00:00:00"/>
    <x v="2"/>
    <x v="9"/>
    <x v="439"/>
    <x v="0"/>
    <x v="0"/>
    <x v="2"/>
    <x v="507"/>
    <n v="10"/>
    <n v="2797"/>
  </r>
  <r>
    <d v="2022-12-12T00:00:00"/>
    <x v="2"/>
    <x v="9"/>
    <x v="440"/>
    <x v="0"/>
    <x v="1"/>
    <x v="9"/>
    <x v="508"/>
    <n v="5"/>
    <n v="2851"/>
  </r>
  <r>
    <d v="2022-12-15T00:00:00"/>
    <x v="2"/>
    <x v="9"/>
    <x v="441"/>
    <x v="4"/>
    <x v="0"/>
    <x v="2"/>
    <x v="51"/>
    <n v="8"/>
    <n v="642"/>
  </r>
  <r>
    <d v="2022-12-16T00:00:00"/>
    <x v="2"/>
    <x v="9"/>
    <x v="442"/>
    <x v="1"/>
    <x v="2"/>
    <x v="7"/>
    <x v="349"/>
    <n v="1"/>
    <n v="55"/>
  </r>
  <r>
    <d v="2022-12-17T00:00:00"/>
    <x v="2"/>
    <x v="9"/>
    <x v="443"/>
    <x v="1"/>
    <x v="0"/>
    <x v="11"/>
    <x v="426"/>
    <n v="17"/>
    <n v="575"/>
  </r>
  <r>
    <d v="2022-12-17T00:00:00"/>
    <x v="2"/>
    <x v="9"/>
    <x v="443"/>
    <x v="1"/>
    <x v="0"/>
    <x v="0"/>
    <x v="427"/>
    <n v="16"/>
    <n v="515"/>
  </r>
  <r>
    <d v="2022-12-20T00:00:00"/>
    <x v="2"/>
    <x v="9"/>
    <x v="444"/>
    <x v="4"/>
    <x v="2"/>
    <x v="8"/>
    <x v="350"/>
    <n v="10"/>
    <n v="958"/>
  </r>
  <r>
    <d v="2022-12-21T00:00:00"/>
    <x v="2"/>
    <x v="9"/>
    <x v="445"/>
    <x v="4"/>
    <x v="0"/>
    <x v="5"/>
    <x v="354"/>
    <n v="15"/>
    <n v="320"/>
  </r>
  <r>
    <d v="2022-12-21T00:00:00"/>
    <x v="2"/>
    <x v="9"/>
    <x v="445"/>
    <x v="4"/>
    <x v="1"/>
    <x v="9"/>
    <x v="509"/>
    <n v="12"/>
    <n v="371"/>
  </r>
  <r>
    <d v="2022-12-22T00:00:00"/>
    <x v="2"/>
    <x v="9"/>
    <x v="446"/>
    <x v="4"/>
    <x v="2"/>
    <x v="3"/>
    <x v="510"/>
    <n v="7"/>
    <n v="867"/>
  </r>
  <r>
    <d v="2022-12-23T00:00:00"/>
    <x v="2"/>
    <x v="9"/>
    <x v="447"/>
    <x v="4"/>
    <x v="2"/>
    <x v="3"/>
    <x v="511"/>
    <n v="7"/>
    <n v="294"/>
  </r>
  <r>
    <d v="2022-12-23T00:00:00"/>
    <x v="2"/>
    <x v="9"/>
    <x v="448"/>
    <x v="1"/>
    <x v="1"/>
    <x v="9"/>
    <x v="458"/>
    <n v="18"/>
    <n v="3968"/>
  </r>
  <r>
    <d v="2022-12-23T00:00:00"/>
    <x v="2"/>
    <x v="9"/>
    <x v="448"/>
    <x v="1"/>
    <x v="2"/>
    <x v="3"/>
    <x v="459"/>
    <n v="14"/>
    <n v="251"/>
  </r>
  <r>
    <d v="2022-12-23T00:00:00"/>
    <x v="2"/>
    <x v="9"/>
    <x v="449"/>
    <x v="1"/>
    <x v="2"/>
    <x v="8"/>
    <x v="59"/>
    <n v="16"/>
    <n v="158"/>
  </r>
  <r>
    <d v="2022-12-23T00:00:00"/>
    <x v="2"/>
    <x v="9"/>
    <x v="449"/>
    <x v="1"/>
    <x v="2"/>
    <x v="3"/>
    <x v="60"/>
    <n v="17"/>
    <n v="177"/>
  </r>
  <r>
    <d v="2022-12-25T00:00:00"/>
    <x v="2"/>
    <x v="9"/>
    <x v="450"/>
    <x v="3"/>
    <x v="2"/>
    <x v="3"/>
    <x v="512"/>
    <n v="10"/>
    <n v="1043"/>
  </r>
  <r>
    <d v="2022-12-25T00:00:00"/>
    <x v="2"/>
    <x v="9"/>
    <x v="450"/>
    <x v="3"/>
    <x v="0"/>
    <x v="0"/>
    <x v="513"/>
    <n v="7"/>
    <n v="4132"/>
  </r>
  <r>
    <d v="2022-12-25T00:00:00"/>
    <x v="2"/>
    <x v="9"/>
    <x v="450"/>
    <x v="3"/>
    <x v="0"/>
    <x v="11"/>
    <x v="514"/>
    <n v="13"/>
    <n v="683"/>
  </r>
  <r>
    <d v="2022-12-25T00:00:00"/>
    <x v="2"/>
    <x v="9"/>
    <x v="451"/>
    <x v="3"/>
    <x v="2"/>
    <x v="7"/>
    <x v="515"/>
    <n v="17"/>
    <n v="3257"/>
  </r>
  <r>
    <d v="2022-12-25T00:00:00"/>
    <x v="2"/>
    <x v="9"/>
    <x v="451"/>
    <x v="3"/>
    <x v="1"/>
    <x v="6"/>
    <x v="516"/>
    <n v="6"/>
    <n v="277"/>
  </r>
  <r>
    <d v="2022-12-25T00:00:00"/>
    <x v="2"/>
    <x v="9"/>
    <x v="451"/>
    <x v="3"/>
    <x v="1"/>
    <x v="10"/>
    <x v="517"/>
    <n v="2"/>
    <n v="1530"/>
  </r>
  <r>
    <d v="2022-12-26T00:00:00"/>
    <x v="2"/>
    <x v="9"/>
    <x v="452"/>
    <x v="4"/>
    <x v="1"/>
    <x v="10"/>
    <x v="518"/>
    <n v="5"/>
    <n v="249"/>
  </r>
  <r>
    <d v="2022-12-27T00:00:00"/>
    <x v="2"/>
    <x v="9"/>
    <x v="453"/>
    <x v="5"/>
    <x v="1"/>
    <x v="1"/>
    <x v="519"/>
    <n v="13"/>
    <n v="584"/>
  </r>
  <r>
    <d v="2022-12-27T00:00:00"/>
    <x v="2"/>
    <x v="9"/>
    <x v="453"/>
    <x v="5"/>
    <x v="1"/>
    <x v="9"/>
    <x v="520"/>
    <n v="14"/>
    <n v="154"/>
  </r>
  <r>
    <d v="2022-12-27T00:00:00"/>
    <x v="2"/>
    <x v="9"/>
    <x v="453"/>
    <x v="5"/>
    <x v="1"/>
    <x v="6"/>
    <x v="521"/>
    <n v="15"/>
    <n v="109"/>
  </r>
  <r>
    <d v="2022-12-27T00:00:00"/>
    <x v="2"/>
    <x v="9"/>
    <x v="454"/>
    <x v="1"/>
    <x v="1"/>
    <x v="6"/>
    <x v="173"/>
    <n v="13"/>
    <n v="1403"/>
  </r>
  <r>
    <d v="2022-12-27T00:00:00"/>
    <x v="2"/>
    <x v="9"/>
    <x v="454"/>
    <x v="1"/>
    <x v="2"/>
    <x v="4"/>
    <x v="174"/>
    <n v="14"/>
    <n v="388"/>
  </r>
  <r>
    <d v="2022-12-28T00:00:00"/>
    <x v="2"/>
    <x v="9"/>
    <x v="455"/>
    <x v="0"/>
    <x v="0"/>
    <x v="0"/>
    <x v="493"/>
    <n v="9"/>
    <n v="1100"/>
  </r>
  <r>
    <d v="2023-01-06T00:00:00"/>
    <x v="3"/>
    <x v="10"/>
    <x v="456"/>
    <x v="0"/>
    <x v="0"/>
    <x v="5"/>
    <x v="522"/>
    <n v="11"/>
    <n v="92"/>
  </r>
  <r>
    <d v="2023-01-11T00:00:00"/>
    <x v="3"/>
    <x v="10"/>
    <x v="457"/>
    <x v="5"/>
    <x v="1"/>
    <x v="6"/>
    <x v="291"/>
    <n v="2"/>
    <n v="1411"/>
  </r>
  <r>
    <d v="2023-01-11T00:00:00"/>
    <x v="3"/>
    <x v="10"/>
    <x v="457"/>
    <x v="5"/>
    <x v="1"/>
    <x v="1"/>
    <x v="237"/>
    <n v="6"/>
    <n v="1152"/>
  </r>
  <r>
    <d v="2023-01-12T00:00:00"/>
    <x v="3"/>
    <x v="10"/>
    <x v="458"/>
    <x v="1"/>
    <x v="0"/>
    <x v="2"/>
    <x v="523"/>
    <n v="10"/>
    <n v="308"/>
  </r>
  <r>
    <d v="2023-01-12T00:00:00"/>
    <x v="3"/>
    <x v="10"/>
    <x v="458"/>
    <x v="1"/>
    <x v="0"/>
    <x v="5"/>
    <x v="524"/>
    <n v="13"/>
    <n v="2504"/>
  </r>
  <r>
    <d v="2023-01-17T00:00:00"/>
    <x v="3"/>
    <x v="10"/>
    <x v="459"/>
    <x v="3"/>
    <x v="0"/>
    <x v="11"/>
    <x v="53"/>
    <n v="20"/>
    <n v="214"/>
  </r>
  <r>
    <d v="2023-01-18T00:00:00"/>
    <x v="3"/>
    <x v="10"/>
    <x v="460"/>
    <x v="3"/>
    <x v="2"/>
    <x v="8"/>
    <x v="151"/>
    <n v="14"/>
    <n v="232"/>
  </r>
  <r>
    <d v="2023-01-18T00:00:00"/>
    <x v="3"/>
    <x v="10"/>
    <x v="461"/>
    <x v="5"/>
    <x v="2"/>
    <x v="8"/>
    <x v="418"/>
    <n v="17"/>
    <n v="355"/>
  </r>
  <r>
    <d v="2023-01-20T00:00:00"/>
    <x v="3"/>
    <x v="10"/>
    <x v="462"/>
    <x v="0"/>
    <x v="1"/>
    <x v="9"/>
    <x v="126"/>
    <n v="16"/>
    <n v="3178"/>
  </r>
  <r>
    <d v="2023-01-22T00:00:00"/>
    <x v="3"/>
    <x v="10"/>
    <x v="463"/>
    <x v="0"/>
    <x v="0"/>
    <x v="11"/>
    <x v="394"/>
    <n v="11"/>
    <n v="175"/>
  </r>
  <r>
    <d v="2023-01-22T00:00:00"/>
    <x v="3"/>
    <x v="10"/>
    <x v="463"/>
    <x v="0"/>
    <x v="0"/>
    <x v="0"/>
    <x v="395"/>
    <n v="15"/>
    <n v="1776"/>
  </r>
  <r>
    <d v="2023-01-23T00:00:00"/>
    <x v="3"/>
    <x v="10"/>
    <x v="464"/>
    <x v="5"/>
    <x v="0"/>
    <x v="11"/>
    <x v="254"/>
    <n v="3"/>
    <n v="1841"/>
  </r>
  <r>
    <d v="2023-01-26T00:00:00"/>
    <x v="3"/>
    <x v="10"/>
    <x v="465"/>
    <x v="4"/>
    <x v="2"/>
    <x v="3"/>
    <x v="525"/>
    <n v="13"/>
    <n v="436"/>
  </r>
  <r>
    <d v="2023-01-28T00:00:00"/>
    <x v="3"/>
    <x v="10"/>
    <x v="466"/>
    <x v="4"/>
    <x v="2"/>
    <x v="3"/>
    <x v="276"/>
    <n v="16"/>
    <n v="619"/>
  </r>
  <r>
    <d v="2023-01-28T00:00:00"/>
    <x v="3"/>
    <x v="10"/>
    <x v="466"/>
    <x v="4"/>
    <x v="0"/>
    <x v="5"/>
    <x v="277"/>
    <n v="15"/>
    <n v="986"/>
  </r>
  <r>
    <d v="2023-01-29T00:00:00"/>
    <x v="3"/>
    <x v="10"/>
    <x v="467"/>
    <x v="4"/>
    <x v="2"/>
    <x v="8"/>
    <x v="350"/>
    <n v="10"/>
    <n v="958"/>
  </r>
  <r>
    <d v="2023-02-02T00:00:00"/>
    <x v="3"/>
    <x v="11"/>
    <x v="468"/>
    <x v="2"/>
    <x v="0"/>
    <x v="2"/>
    <x v="526"/>
    <n v="7"/>
    <n v="1485"/>
  </r>
  <r>
    <d v="2023-02-03T00:00:00"/>
    <x v="3"/>
    <x v="11"/>
    <x v="154"/>
    <x v="5"/>
    <x v="1"/>
    <x v="10"/>
    <x v="327"/>
    <n v="20"/>
    <n v="1180"/>
  </r>
  <r>
    <d v="2023-02-03T00:00:00"/>
    <x v="3"/>
    <x v="11"/>
    <x v="469"/>
    <x v="3"/>
    <x v="2"/>
    <x v="4"/>
    <x v="527"/>
    <n v="18"/>
    <n v="1345"/>
  </r>
  <r>
    <d v="2023-02-03T00:00:00"/>
    <x v="3"/>
    <x v="11"/>
    <x v="469"/>
    <x v="3"/>
    <x v="2"/>
    <x v="8"/>
    <x v="528"/>
    <n v="14"/>
    <n v="766"/>
  </r>
  <r>
    <d v="2023-02-17T00:00:00"/>
    <x v="3"/>
    <x v="11"/>
    <x v="470"/>
    <x v="0"/>
    <x v="1"/>
    <x v="9"/>
    <x v="64"/>
    <n v="5"/>
    <n v="410"/>
  </r>
  <r>
    <d v="2023-02-17T00:00:00"/>
    <x v="3"/>
    <x v="11"/>
    <x v="470"/>
    <x v="0"/>
    <x v="1"/>
    <x v="10"/>
    <x v="65"/>
    <n v="4"/>
    <n v="534"/>
  </r>
  <r>
    <d v="2023-02-23T00:00:00"/>
    <x v="3"/>
    <x v="11"/>
    <x v="471"/>
    <x v="3"/>
    <x v="2"/>
    <x v="4"/>
    <x v="529"/>
    <n v="17"/>
    <n v="73"/>
  </r>
  <r>
    <d v="2023-02-23T00:00:00"/>
    <x v="3"/>
    <x v="11"/>
    <x v="471"/>
    <x v="3"/>
    <x v="2"/>
    <x v="7"/>
    <x v="530"/>
    <n v="19"/>
    <n v="1168"/>
  </r>
  <r>
    <d v="2023-02-28T00:00:00"/>
    <x v="3"/>
    <x v="11"/>
    <x v="472"/>
    <x v="0"/>
    <x v="2"/>
    <x v="4"/>
    <x v="531"/>
    <n v="1"/>
    <n v="350"/>
  </r>
  <r>
    <d v="2023-02-28T00:00:00"/>
    <x v="3"/>
    <x v="11"/>
    <x v="472"/>
    <x v="0"/>
    <x v="1"/>
    <x v="10"/>
    <x v="532"/>
    <n v="12"/>
    <n v="2433"/>
  </r>
  <r>
    <d v="2023-02-28T00:00:00"/>
    <x v="3"/>
    <x v="11"/>
    <x v="472"/>
    <x v="0"/>
    <x v="1"/>
    <x v="1"/>
    <x v="533"/>
    <n v="1"/>
    <n v="647"/>
  </r>
  <r>
    <d v="2023-02-28T00:00:00"/>
    <x v="3"/>
    <x v="11"/>
    <x v="473"/>
    <x v="1"/>
    <x v="1"/>
    <x v="10"/>
    <x v="534"/>
    <n v="7"/>
    <n v="766"/>
  </r>
  <r>
    <d v="2023-02-28T00:00:00"/>
    <x v="3"/>
    <x v="11"/>
    <x v="473"/>
    <x v="1"/>
    <x v="1"/>
    <x v="6"/>
    <x v="535"/>
    <n v="19"/>
    <n v="3944"/>
  </r>
  <r>
    <d v="2023-03-01T00:00:00"/>
    <x v="3"/>
    <x v="0"/>
    <x v="474"/>
    <x v="3"/>
    <x v="0"/>
    <x v="11"/>
    <x v="536"/>
    <n v="14"/>
    <n v="330"/>
  </r>
  <r>
    <d v="2023-03-01T00:00:00"/>
    <x v="3"/>
    <x v="0"/>
    <x v="474"/>
    <x v="3"/>
    <x v="2"/>
    <x v="7"/>
    <x v="537"/>
    <n v="12"/>
    <n v="1133"/>
  </r>
  <r>
    <d v="2023-03-01T00:00:00"/>
    <x v="3"/>
    <x v="0"/>
    <x v="474"/>
    <x v="3"/>
    <x v="0"/>
    <x v="2"/>
    <x v="538"/>
    <n v="9"/>
    <n v="887"/>
  </r>
  <r>
    <d v="2023-03-04T00:00:00"/>
    <x v="3"/>
    <x v="0"/>
    <x v="475"/>
    <x v="3"/>
    <x v="2"/>
    <x v="3"/>
    <x v="308"/>
    <n v="11"/>
    <n v="241"/>
  </r>
  <r>
    <d v="2023-03-09T00:00:00"/>
    <x v="3"/>
    <x v="0"/>
    <x v="476"/>
    <x v="2"/>
    <x v="0"/>
    <x v="2"/>
    <x v="539"/>
    <n v="3"/>
    <n v="728"/>
  </r>
  <r>
    <d v="2023-03-10T00:00:00"/>
    <x v="3"/>
    <x v="0"/>
    <x v="477"/>
    <x v="4"/>
    <x v="0"/>
    <x v="2"/>
    <x v="540"/>
    <n v="6"/>
    <n v="1836"/>
  </r>
  <r>
    <d v="2023-03-10T00:00:00"/>
    <x v="3"/>
    <x v="0"/>
    <x v="477"/>
    <x v="4"/>
    <x v="1"/>
    <x v="9"/>
    <x v="541"/>
    <n v="15"/>
    <n v="2596"/>
  </r>
  <r>
    <d v="2023-03-10T00:00:00"/>
    <x v="3"/>
    <x v="0"/>
    <x v="478"/>
    <x v="4"/>
    <x v="0"/>
    <x v="0"/>
    <x v="542"/>
    <n v="15"/>
    <n v="3301"/>
  </r>
  <r>
    <d v="2023-03-14T00:00:00"/>
    <x v="3"/>
    <x v="0"/>
    <x v="479"/>
    <x v="4"/>
    <x v="1"/>
    <x v="1"/>
    <x v="543"/>
    <n v="6"/>
    <n v="2526"/>
  </r>
  <r>
    <d v="2023-03-16T00:00:00"/>
    <x v="3"/>
    <x v="0"/>
    <x v="480"/>
    <x v="0"/>
    <x v="0"/>
    <x v="0"/>
    <x v="30"/>
    <n v="15"/>
    <n v="1335"/>
  </r>
  <r>
    <d v="2023-03-18T00:00:00"/>
    <x v="3"/>
    <x v="0"/>
    <x v="481"/>
    <x v="2"/>
    <x v="0"/>
    <x v="5"/>
    <x v="483"/>
    <n v="11"/>
    <n v="2656"/>
  </r>
  <r>
    <d v="2023-03-21T00:00:00"/>
    <x v="3"/>
    <x v="0"/>
    <x v="482"/>
    <x v="3"/>
    <x v="0"/>
    <x v="11"/>
    <x v="544"/>
    <n v="19"/>
    <n v="257"/>
  </r>
  <r>
    <d v="2023-03-21T00:00:00"/>
    <x v="3"/>
    <x v="0"/>
    <x v="482"/>
    <x v="3"/>
    <x v="2"/>
    <x v="3"/>
    <x v="545"/>
    <n v="13"/>
    <n v="3003"/>
  </r>
  <r>
    <d v="2023-03-21T00:00:00"/>
    <x v="3"/>
    <x v="0"/>
    <x v="482"/>
    <x v="3"/>
    <x v="0"/>
    <x v="0"/>
    <x v="546"/>
    <n v="15"/>
    <n v="3128"/>
  </r>
  <r>
    <d v="2023-03-21T00:00:00"/>
    <x v="3"/>
    <x v="0"/>
    <x v="483"/>
    <x v="4"/>
    <x v="1"/>
    <x v="10"/>
    <x v="547"/>
    <n v="4"/>
    <n v="1704"/>
  </r>
  <r>
    <d v="2023-03-21T00:00:00"/>
    <x v="3"/>
    <x v="0"/>
    <x v="484"/>
    <x v="5"/>
    <x v="0"/>
    <x v="5"/>
    <x v="548"/>
    <n v="12"/>
    <n v="4299"/>
  </r>
  <r>
    <d v="2023-03-21T00:00:00"/>
    <x v="3"/>
    <x v="0"/>
    <x v="485"/>
    <x v="1"/>
    <x v="0"/>
    <x v="2"/>
    <x v="50"/>
    <n v="3"/>
    <n v="3485"/>
  </r>
  <r>
    <d v="2023-04-01T00:00:00"/>
    <x v="3"/>
    <x v="1"/>
    <x v="486"/>
    <x v="5"/>
    <x v="2"/>
    <x v="4"/>
    <x v="549"/>
    <n v="15"/>
    <n v="1494"/>
  </r>
  <r>
    <d v="2023-04-02T00:00:00"/>
    <x v="3"/>
    <x v="1"/>
    <x v="487"/>
    <x v="5"/>
    <x v="1"/>
    <x v="9"/>
    <x v="550"/>
    <n v="16"/>
    <n v="1660"/>
  </r>
  <r>
    <d v="2023-04-05T00:00:00"/>
    <x v="3"/>
    <x v="1"/>
    <x v="488"/>
    <x v="0"/>
    <x v="2"/>
    <x v="8"/>
    <x v="154"/>
    <n v="19"/>
    <n v="139"/>
  </r>
  <r>
    <d v="2023-04-05T00:00:00"/>
    <x v="3"/>
    <x v="1"/>
    <x v="488"/>
    <x v="0"/>
    <x v="2"/>
    <x v="8"/>
    <x v="155"/>
    <n v="16"/>
    <n v="800"/>
  </r>
  <r>
    <d v="2023-04-05T00:00:00"/>
    <x v="3"/>
    <x v="1"/>
    <x v="488"/>
    <x v="0"/>
    <x v="1"/>
    <x v="6"/>
    <x v="156"/>
    <n v="9"/>
    <n v="1626"/>
  </r>
  <r>
    <d v="2023-04-06T00:00:00"/>
    <x v="3"/>
    <x v="1"/>
    <x v="489"/>
    <x v="5"/>
    <x v="1"/>
    <x v="6"/>
    <x v="551"/>
    <n v="2"/>
    <n v="93"/>
  </r>
  <r>
    <d v="2023-04-06T00:00:00"/>
    <x v="3"/>
    <x v="1"/>
    <x v="489"/>
    <x v="5"/>
    <x v="2"/>
    <x v="3"/>
    <x v="552"/>
    <n v="3"/>
    <n v="1034"/>
  </r>
  <r>
    <d v="2023-04-06T00:00:00"/>
    <x v="3"/>
    <x v="1"/>
    <x v="489"/>
    <x v="5"/>
    <x v="0"/>
    <x v="2"/>
    <x v="553"/>
    <n v="3"/>
    <n v="248"/>
  </r>
  <r>
    <d v="2023-04-06T00:00:00"/>
    <x v="3"/>
    <x v="1"/>
    <x v="489"/>
    <x v="5"/>
    <x v="1"/>
    <x v="1"/>
    <x v="554"/>
    <n v="10"/>
    <n v="361"/>
  </r>
  <r>
    <d v="2023-04-07T00:00:00"/>
    <x v="3"/>
    <x v="1"/>
    <x v="490"/>
    <x v="4"/>
    <x v="1"/>
    <x v="9"/>
    <x v="555"/>
    <n v="18"/>
    <n v="1450"/>
  </r>
  <r>
    <d v="2023-04-09T00:00:00"/>
    <x v="3"/>
    <x v="1"/>
    <x v="491"/>
    <x v="0"/>
    <x v="1"/>
    <x v="1"/>
    <x v="62"/>
    <n v="8"/>
    <n v="287"/>
  </r>
  <r>
    <d v="2023-04-17T00:00:00"/>
    <x v="3"/>
    <x v="1"/>
    <x v="492"/>
    <x v="0"/>
    <x v="0"/>
    <x v="2"/>
    <x v="76"/>
    <n v="1"/>
    <n v="1176"/>
  </r>
  <r>
    <d v="2023-04-17T00:00:00"/>
    <x v="3"/>
    <x v="1"/>
    <x v="492"/>
    <x v="0"/>
    <x v="2"/>
    <x v="8"/>
    <x v="77"/>
    <n v="5"/>
    <n v="1125"/>
  </r>
  <r>
    <d v="2023-04-17T00:00:00"/>
    <x v="3"/>
    <x v="1"/>
    <x v="492"/>
    <x v="0"/>
    <x v="0"/>
    <x v="5"/>
    <x v="78"/>
    <n v="14"/>
    <n v="253"/>
  </r>
  <r>
    <d v="2023-04-17T00:00:00"/>
    <x v="3"/>
    <x v="1"/>
    <x v="492"/>
    <x v="0"/>
    <x v="2"/>
    <x v="3"/>
    <x v="79"/>
    <n v="5"/>
    <n v="1239"/>
  </r>
  <r>
    <d v="2023-04-17T00:00:00"/>
    <x v="3"/>
    <x v="1"/>
    <x v="493"/>
    <x v="4"/>
    <x v="2"/>
    <x v="7"/>
    <x v="117"/>
    <n v="13"/>
    <n v="201"/>
  </r>
  <r>
    <d v="2023-04-17T00:00:00"/>
    <x v="3"/>
    <x v="1"/>
    <x v="494"/>
    <x v="2"/>
    <x v="0"/>
    <x v="5"/>
    <x v="556"/>
    <n v="18"/>
    <n v="700"/>
  </r>
  <r>
    <d v="2023-04-19T00:00:00"/>
    <x v="3"/>
    <x v="1"/>
    <x v="495"/>
    <x v="2"/>
    <x v="0"/>
    <x v="0"/>
    <x v="557"/>
    <n v="4"/>
    <n v="1801"/>
  </r>
  <r>
    <d v="2023-04-24T00:00:00"/>
    <x v="3"/>
    <x v="1"/>
    <x v="496"/>
    <x v="3"/>
    <x v="2"/>
    <x v="7"/>
    <x v="184"/>
    <n v="12"/>
    <n v="92"/>
  </r>
  <r>
    <d v="2023-04-25T00:00:00"/>
    <x v="3"/>
    <x v="1"/>
    <x v="497"/>
    <x v="4"/>
    <x v="0"/>
    <x v="5"/>
    <x v="558"/>
    <n v="11"/>
    <n v="3870"/>
  </r>
  <r>
    <d v="2023-04-28T00:00:00"/>
    <x v="3"/>
    <x v="1"/>
    <x v="498"/>
    <x v="3"/>
    <x v="2"/>
    <x v="4"/>
    <x v="144"/>
    <n v="2"/>
    <n v="342"/>
  </r>
  <r>
    <d v="2023-04-28T00:00:00"/>
    <x v="3"/>
    <x v="1"/>
    <x v="499"/>
    <x v="2"/>
    <x v="2"/>
    <x v="4"/>
    <x v="527"/>
    <n v="18"/>
    <n v="1345"/>
  </r>
  <r>
    <d v="2023-04-28T00:00:00"/>
    <x v="3"/>
    <x v="1"/>
    <x v="499"/>
    <x v="2"/>
    <x v="2"/>
    <x v="8"/>
    <x v="528"/>
    <n v="14"/>
    <n v="766"/>
  </r>
  <r>
    <d v="2023-05-03T00:00:00"/>
    <x v="3"/>
    <x v="2"/>
    <x v="500"/>
    <x v="2"/>
    <x v="0"/>
    <x v="0"/>
    <x v="127"/>
    <n v="10"/>
    <n v="936"/>
  </r>
  <r>
    <d v="2023-05-03T00:00:00"/>
    <x v="3"/>
    <x v="2"/>
    <x v="501"/>
    <x v="3"/>
    <x v="1"/>
    <x v="6"/>
    <x v="559"/>
    <n v="9"/>
    <n v="1439"/>
  </r>
  <r>
    <d v="2023-05-04T00:00:00"/>
    <x v="3"/>
    <x v="2"/>
    <x v="502"/>
    <x v="3"/>
    <x v="2"/>
    <x v="4"/>
    <x v="560"/>
    <n v="13"/>
    <n v="1981"/>
  </r>
  <r>
    <d v="2023-05-04T00:00:00"/>
    <x v="3"/>
    <x v="2"/>
    <x v="503"/>
    <x v="3"/>
    <x v="2"/>
    <x v="7"/>
    <x v="21"/>
    <n v="10"/>
    <n v="1163"/>
  </r>
  <r>
    <d v="2023-05-04T00:00:00"/>
    <x v="3"/>
    <x v="2"/>
    <x v="503"/>
    <x v="3"/>
    <x v="0"/>
    <x v="2"/>
    <x v="22"/>
    <n v="11"/>
    <n v="267"/>
  </r>
  <r>
    <d v="2023-05-04T00:00:00"/>
    <x v="3"/>
    <x v="2"/>
    <x v="504"/>
    <x v="1"/>
    <x v="0"/>
    <x v="11"/>
    <x v="561"/>
    <n v="12"/>
    <n v="893"/>
  </r>
  <r>
    <d v="2023-05-08T00:00:00"/>
    <x v="3"/>
    <x v="2"/>
    <x v="505"/>
    <x v="5"/>
    <x v="2"/>
    <x v="7"/>
    <x v="184"/>
    <n v="12"/>
    <n v="92"/>
  </r>
  <r>
    <d v="2023-05-10T00:00:00"/>
    <x v="3"/>
    <x v="2"/>
    <x v="506"/>
    <x v="5"/>
    <x v="0"/>
    <x v="11"/>
    <x v="34"/>
    <n v="8"/>
    <n v="749"/>
  </r>
  <r>
    <d v="2023-05-14T00:00:00"/>
    <x v="3"/>
    <x v="2"/>
    <x v="507"/>
    <x v="4"/>
    <x v="1"/>
    <x v="10"/>
    <x v="383"/>
    <n v="1"/>
    <n v="187"/>
  </r>
  <r>
    <d v="2023-05-19T00:00:00"/>
    <x v="3"/>
    <x v="2"/>
    <x v="508"/>
    <x v="3"/>
    <x v="0"/>
    <x v="2"/>
    <x v="523"/>
    <n v="10"/>
    <n v="308"/>
  </r>
  <r>
    <d v="2023-05-19T00:00:00"/>
    <x v="3"/>
    <x v="2"/>
    <x v="508"/>
    <x v="3"/>
    <x v="0"/>
    <x v="5"/>
    <x v="524"/>
    <n v="13"/>
    <n v="2504"/>
  </r>
  <r>
    <d v="2023-05-24T00:00:00"/>
    <x v="3"/>
    <x v="2"/>
    <x v="509"/>
    <x v="4"/>
    <x v="0"/>
    <x v="5"/>
    <x v="141"/>
    <n v="18"/>
    <n v="1591"/>
  </r>
  <r>
    <d v="2023-05-24T00:00:00"/>
    <x v="3"/>
    <x v="2"/>
    <x v="510"/>
    <x v="5"/>
    <x v="2"/>
    <x v="7"/>
    <x v="562"/>
    <n v="9"/>
    <n v="2826"/>
  </r>
  <r>
    <d v="2023-05-27T00:00:00"/>
    <x v="3"/>
    <x v="2"/>
    <x v="511"/>
    <x v="4"/>
    <x v="2"/>
    <x v="8"/>
    <x v="244"/>
    <n v="6"/>
    <n v="573"/>
  </r>
  <r>
    <d v="2023-05-27T00:00:00"/>
    <x v="3"/>
    <x v="2"/>
    <x v="511"/>
    <x v="4"/>
    <x v="0"/>
    <x v="5"/>
    <x v="245"/>
    <n v="5"/>
    <n v="1014"/>
  </r>
  <r>
    <d v="2023-05-29T00:00:00"/>
    <x v="3"/>
    <x v="2"/>
    <x v="512"/>
    <x v="1"/>
    <x v="1"/>
    <x v="10"/>
    <x v="233"/>
    <n v="15"/>
    <n v="235"/>
  </r>
  <r>
    <d v="2023-05-31T00:00:00"/>
    <x v="3"/>
    <x v="2"/>
    <x v="513"/>
    <x v="0"/>
    <x v="0"/>
    <x v="11"/>
    <x v="561"/>
    <n v="12"/>
    <n v="893"/>
  </r>
  <r>
    <d v="2023-06-01T00:00:00"/>
    <x v="3"/>
    <x v="3"/>
    <x v="514"/>
    <x v="0"/>
    <x v="0"/>
    <x v="5"/>
    <x v="563"/>
    <n v="2"/>
    <n v="1377"/>
  </r>
  <r>
    <d v="2023-06-04T00:00:00"/>
    <x v="3"/>
    <x v="3"/>
    <x v="515"/>
    <x v="5"/>
    <x v="2"/>
    <x v="4"/>
    <x v="495"/>
    <n v="7"/>
    <n v="127"/>
  </r>
  <r>
    <d v="2023-06-04T00:00:00"/>
    <x v="3"/>
    <x v="3"/>
    <x v="515"/>
    <x v="5"/>
    <x v="2"/>
    <x v="7"/>
    <x v="564"/>
    <n v="8"/>
    <n v="1155"/>
  </r>
  <r>
    <d v="2023-06-04T00:00:00"/>
    <x v="3"/>
    <x v="3"/>
    <x v="515"/>
    <x v="5"/>
    <x v="1"/>
    <x v="10"/>
    <x v="565"/>
    <n v="16"/>
    <n v="2226"/>
  </r>
  <r>
    <d v="2023-06-05T00:00:00"/>
    <x v="3"/>
    <x v="3"/>
    <x v="516"/>
    <x v="1"/>
    <x v="0"/>
    <x v="5"/>
    <x v="566"/>
    <n v="16"/>
    <n v="4441"/>
  </r>
  <r>
    <d v="2023-06-07T00:00:00"/>
    <x v="3"/>
    <x v="3"/>
    <x v="517"/>
    <x v="1"/>
    <x v="1"/>
    <x v="9"/>
    <x v="160"/>
    <n v="16"/>
    <n v="1354"/>
  </r>
  <r>
    <d v="2023-06-08T00:00:00"/>
    <x v="3"/>
    <x v="3"/>
    <x v="518"/>
    <x v="1"/>
    <x v="2"/>
    <x v="3"/>
    <x v="567"/>
    <n v="3"/>
    <n v="234"/>
  </r>
  <r>
    <d v="2023-06-08T00:00:00"/>
    <x v="3"/>
    <x v="3"/>
    <x v="518"/>
    <x v="1"/>
    <x v="0"/>
    <x v="0"/>
    <x v="568"/>
    <n v="7"/>
    <n v="424"/>
  </r>
  <r>
    <d v="2023-06-08T00:00:00"/>
    <x v="3"/>
    <x v="3"/>
    <x v="519"/>
    <x v="5"/>
    <x v="2"/>
    <x v="7"/>
    <x v="569"/>
    <n v="19"/>
    <n v="1430"/>
  </r>
  <r>
    <d v="2023-06-08T00:00:00"/>
    <x v="3"/>
    <x v="3"/>
    <x v="520"/>
    <x v="1"/>
    <x v="0"/>
    <x v="11"/>
    <x v="570"/>
    <n v="15"/>
    <n v="4930"/>
  </r>
  <r>
    <d v="2023-06-15T00:00:00"/>
    <x v="3"/>
    <x v="3"/>
    <x v="521"/>
    <x v="3"/>
    <x v="0"/>
    <x v="2"/>
    <x v="571"/>
    <n v="19"/>
    <n v="1753"/>
  </r>
  <r>
    <d v="2023-06-22T00:00:00"/>
    <x v="3"/>
    <x v="3"/>
    <x v="522"/>
    <x v="4"/>
    <x v="0"/>
    <x v="11"/>
    <x v="572"/>
    <n v="6"/>
    <n v="907"/>
  </r>
  <r>
    <d v="2023-06-25T00:00:00"/>
    <x v="3"/>
    <x v="3"/>
    <x v="523"/>
    <x v="0"/>
    <x v="2"/>
    <x v="3"/>
    <x v="573"/>
    <n v="7"/>
    <n v="471"/>
  </r>
  <r>
    <d v="2023-06-25T00:00:00"/>
    <x v="3"/>
    <x v="3"/>
    <x v="524"/>
    <x v="1"/>
    <x v="0"/>
    <x v="11"/>
    <x v="185"/>
    <n v="2"/>
    <n v="272"/>
  </r>
  <r>
    <d v="2023-06-26T00:00:00"/>
    <x v="3"/>
    <x v="3"/>
    <x v="525"/>
    <x v="5"/>
    <x v="0"/>
    <x v="5"/>
    <x v="574"/>
    <n v="1"/>
    <n v="828"/>
  </r>
  <r>
    <d v="2023-06-26T00:00:00"/>
    <x v="3"/>
    <x v="3"/>
    <x v="525"/>
    <x v="5"/>
    <x v="0"/>
    <x v="2"/>
    <x v="575"/>
    <n v="4"/>
    <n v="1002"/>
  </r>
  <r>
    <d v="2023-06-27T00:00:00"/>
    <x v="3"/>
    <x v="3"/>
    <x v="526"/>
    <x v="2"/>
    <x v="0"/>
    <x v="0"/>
    <x v="252"/>
    <n v="5"/>
    <n v="1275"/>
  </r>
  <r>
    <d v="2023-06-27T00:00:00"/>
    <x v="3"/>
    <x v="3"/>
    <x v="526"/>
    <x v="2"/>
    <x v="0"/>
    <x v="5"/>
    <x v="253"/>
    <n v="14"/>
    <n v="1330"/>
  </r>
  <r>
    <d v="2023-07-02T00:00:00"/>
    <x v="3"/>
    <x v="4"/>
    <x v="527"/>
    <x v="1"/>
    <x v="1"/>
    <x v="6"/>
    <x v="576"/>
    <n v="9"/>
    <n v="781"/>
  </r>
  <r>
    <d v="2023-07-03T00:00:00"/>
    <x v="3"/>
    <x v="4"/>
    <x v="528"/>
    <x v="5"/>
    <x v="0"/>
    <x v="2"/>
    <x v="216"/>
    <n v="12"/>
    <n v="1848"/>
  </r>
  <r>
    <d v="2023-07-03T00:00:00"/>
    <x v="3"/>
    <x v="4"/>
    <x v="528"/>
    <x v="5"/>
    <x v="2"/>
    <x v="7"/>
    <x v="217"/>
    <n v="11"/>
    <n v="866"/>
  </r>
  <r>
    <d v="2023-07-05T00:00:00"/>
    <x v="3"/>
    <x v="4"/>
    <x v="529"/>
    <x v="0"/>
    <x v="2"/>
    <x v="8"/>
    <x v="123"/>
    <n v="8"/>
    <n v="2041"/>
  </r>
  <r>
    <d v="2023-07-05T00:00:00"/>
    <x v="3"/>
    <x v="4"/>
    <x v="529"/>
    <x v="0"/>
    <x v="0"/>
    <x v="5"/>
    <x v="124"/>
    <n v="10"/>
    <n v="1834"/>
  </r>
  <r>
    <d v="2023-07-07T00:00:00"/>
    <x v="3"/>
    <x v="4"/>
    <x v="530"/>
    <x v="2"/>
    <x v="2"/>
    <x v="7"/>
    <x v="149"/>
    <n v="7"/>
    <n v="3826"/>
  </r>
  <r>
    <d v="2023-07-10T00:00:00"/>
    <x v="3"/>
    <x v="4"/>
    <x v="531"/>
    <x v="1"/>
    <x v="0"/>
    <x v="2"/>
    <x v="540"/>
    <n v="6"/>
    <n v="1836"/>
  </r>
  <r>
    <d v="2023-07-10T00:00:00"/>
    <x v="3"/>
    <x v="4"/>
    <x v="531"/>
    <x v="1"/>
    <x v="1"/>
    <x v="9"/>
    <x v="541"/>
    <n v="15"/>
    <n v="2596"/>
  </r>
  <r>
    <d v="2023-07-13T00:00:00"/>
    <x v="3"/>
    <x v="4"/>
    <x v="532"/>
    <x v="5"/>
    <x v="2"/>
    <x v="8"/>
    <x v="577"/>
    <n v="12"/>
    <n v="3508"/>
  </r>
  <r>
    <d v="2023-07-13T00:00:00"/>
    <x v="3"/>
    <x v="4"/>
    <x v="532"/>
    <x v="5"/>
    <x v="1"/>
    <x v="10"/>
    <x v="578"/>
    <n v="16"/>
    <n v="1178"/>
  </r>
  <r>
    <d v="2023-07-13T00:00:00"/>
    <x v="3"/>
    <x v="4"/>
    <x v="532"/>
    <x v="5"/>
    <x v="0"/>
    <x v="0"/>
    <x v="579"/>
    <n v="6"/>
    <n v="1175"/>
  </r>
  <r>
    <d v="2023-07-13T00:00:00"/>
    <x v="3"/>
    <x v="4"/>
    <x v="532"/>
    <x v="5"/>
    <x v="2"/>
    <x v="3"/>
    <x v="580"/>
    <n v="3"/>
    <n v="484"/>
  </r>
  <r>
    <d v="2023-07-14T00:00:00"/>
    <x v="3"/>
    <x v="4"/>
    <x v="533"/>
    <x v="1"/>
    <x v="2"/>
    <x v="3"/>
    <x v="581"/>
    <n v="15"/>
    <n v="848"/>
  </r>
  <r>
    <d v="2023-07-15T00:00:00"/>
    <x v="3"/>
    <x v="4"/>
    <x v="534"/>
    <x v="1"/>
    <x v="0"/>
    <x v="0"/>
    <x v="387"/>
    <n v="19"/>
    <n v="2669"/>
  </r>
  <r>
    <d v="2023-07-15T00:00:00"/>
    <x v="3"/>
    <x v="4"/>
    <x v="534"/>
    <x v="1"/>
    <x v="2"/>
    <x v="8"/>
    <x v="388"/>
    <n v="14"/>
    <n v="3930"/>
  </r>
  <r>
    <d v="2023-07-16T00:00:00"/>
    <x v="3"/>
    <x v="4"/>
    <x v="535"/>
    <x v="4"/>
    <x v="2"/>
    <x v="4"/>
    <x v="582"/>
    <n v="16"/>
    <n v="1958"/>
  </r>
  <r>
    <d v="2023-07-16T00:00:00"/>
    <x v="3"/>
    <x v="4"/>
    <x v="535"/>
    <x v="4"/>
    <x v="1"/>
    <x v="9"/>
    <x v="583"/>
    <n v="11"/>
    <n v="1801"/>
  </r>
  <r>
    <d v="2023-07-16T00:00:00"/>
    <x v="3"/>
    <x v="4"/>
    <x v="535"/>
    <x v="4"/>
    <x v="1"/>
    <x v="9"/>
    <x v="584"/>
    <n v="18"/>
    <n v="1673"/>
  </r>
  <r>
    <d v="2023-07-16T00:00:00"/>
    <x v="3"/>
    <x v="4"/>
    <x v="536"/>
    <x v="2"/>
    <x v="1"/>
    <x v="1"/>
    <x v="494"/>
    <n v="17"/>
    <n v="1574"/>
  </r>
  <r>
    <d v="2023-07-17T00:00:00"/>
    <x v="3"/>
    <x v="4"/>
    <x v="537"/>
    <x v="1"/>
    <x v="1"/>
    <x v="1"/>
    <x v="585"/>
    <n v="8"/>
    <n v="95"/>
  </r>
  <r>
    <d v="2023-07-18T00:00:00"/>
    <x v="3"/>
    <x v="4"/>
    <x v="538"/>
    <x v="0"/>
    <x v="0"/>
    <x v="5"/>
    <x v="413"/>
    <n v="3"/>
    <n v="1085"/>
  </r>
  <r>
    <d v="2023-07-18T00:00:00"/>
    <x v="3"/>
    <x v="4"/>
    <x v="538"/>
    <x v="0"/>
    <x v="2"/>
    <x v="8"/>
    <x v="414"/>
    <n v="19"/>
    <n v="576"/>
  </r>
  <r>
    <d v="2023-07-18T00:00:00"/>
    <x v="3"/>
    <x v="4"/>
    <x v="539"/>
    <x v="3"/>
    <x v="2"/>
    <x v="3"/>
    <x v="586"/>
    <n v="18"/>
    <n v="3178"/>
  </r>
  <r>
    <d v="2023-07-20T00:00:00"/>
    <x v="3"/>
    <x v="4"/>
    <x v="540"/>
    <x v="4"/>
    <x v="1"/>
    <x v="9"/>
    <x v="587"/>
    <n v="1"/>
    <n v="1127"/>
  </r>
  <r>
    <d v="2023-07-22T00:00:00"/>
    <x v="3"/>
    <x v="4"/>
    <x v="541"/>
    <x v="1"/>
    <x v="2"/>
    <x v="4"/>
    <x v="361"/>
    <n v="16"/>
    <n v="481"/>
  </r>
  <r>
    <d v="2023-07-25T00:00:00"/>
    <x v="3"/>
    <x v="4"/>
    <x v="542"/>
    <x v="4"/>
    <x v="0"/>
    <x v="0"/>
    <x v="588"/>
    <n v="4"/>
    <n v="3430"/>
  </r>
  <r>
    <d v="2023-07-28T00:00:00"/>
    <x v="3"/>
    <x v="4"/>
    <x v="543"/>
    <x v="1"/>
    <x v="0"/>
    <x v="2"/>
    <x v="589"/>
    <n v="6"/>
    <n v="163"/>
  </r>
  <r>
    <d v="2023-07-30T00:00:00"/>
    <x v="3"/>
    <x v="4"/>
    <x v="544"/>
    <x v="2"/>
    <x v="0"/>
    <x v="5"/>
    <x v="590"/>
    <n v="8"/>
    <n v="1084"/>
  </r>
  <r>
    <d v="2023-07-30T00:00:00"/>
    <x v="3"/>
    <x v="4"/>
    <x v="544"/>
    <x v="2"/>
    <x v="1"/>
    <x v="6"/>
    <x v="591"/>
    <n v="4"/>
    <n v="788"/>
  </r>
  <r>
    <d v="2023-07-30T00:00:00"/>
    <x v="3"/>
    <x v="4"/>
    <x v="544"/>
    <x v="2"/>
    <x v="0"/>
    <x v="5"/>
    <x v="578"/>
    <n v="7"/>
    <n v="958"/>
  </r>
  <r>
    <d v="2023-08-04T00:00:00"/>
    <x v="3"/>
    <x v="5"/>
    <x v="545"/>
    <x v="1"/>
    <x v="1"/>
    <x v="1"/>
    <x v="592"/>
    <n v="9"/>
    <n v="391"/>
  </r>
  <r>
    <d v="2023-08-04T00:00:00"/>
    <x v="3"/>
    <x v="5"/>
    <x v="546"/>
    <x v="0"/>
    <x v="0"/>
    <x v="5"/>
    <x v="593"/>
    <n v="13"/>
    <n v="2230"/>
  </r>
  <r>
    <d v="2023-08-12T00:00:00"/>
    <x v="3"/>
    <x v="5"/>
    <x v="547"/>
    <x v="3"/>
    <x v="0"/>
    <x v="5"/>
    <x v="594"/>
    <n v="19"/>
    <n v="3063"/>
  </r>
  <r>
    <d v="2023-08-13T00:00:00"/>
    <x v="3"/>
    <x v="5"/>
    <x v="548"/>
    <x v="5"/>
    <x v="2"/>
    <x v="3"/>
    <x v="166"/>
    <n v="13"/>
    <n v="2211"/>
  </r>
  <r>
    <d v="2023-08-17T00:00:00"/>
    <x v="3"/>
    <x v="5"/>
    <x v="549"/>
    <x v="4"/>
    <x v="0"/>
    <x v="0"/>
    <x v="314"/>
    <n v="19"/>
    <n v="508"/>
  </r>
  <r>
    <d v="2023-08-17T00:00:00"/>
    <x v="3"/>
    <x v="5"/>
    <x v="549"/>
    <x v="4"/>
    <x v="2"/>
    <x v="8"/>
    <x v="315"/>
    <n v="9"/>
    <n v="586"/>
  </r>
  <r>
    <d v="2023-08-19T00:00:00"/>
    <x v="3"/>
    <x v="5"/>
    <x v="550"/>
    <x v="1"/>
    <x v="2"/>
    <x v="3"/>
    <x v="581"/>
    <n v="15"/>
    <n v="848"/>
  </r>
  <r>
    <d v="2023-08-20T00:00:00"/>
    <x v="3"/>
    <x v="5"/>
    <x v="551"/>
    <x v="5"/>
    <x v="1"/>
    <x v="1"/>
    <x v="595"/>
    <n v="10"/>
    <n v="2462"/>
  </r>
  <r>
    <d v="2023-08-21T00:00:00"/>
    <x v="3"/>
    <x v="5"/>
    <x v="552"/>
    <x v="5"/>
    <x v="1"/>
    <x v="10"/>
    <x v="110"/>
    <n v="8"/>
    <n v="2632"/>
  </r>
  <r>
    <d v="2023-08-21T00:00:00"/>
    <x v="3"/>
    <x v="5"/>
    <x v="552"/>
    <x v="5"/>
    <x v="0"/>
    <x v="2"/>
    <x v="111"/>
    <n v="17"/>
    <n v="205"/>
  </r>
  <r>
    <d v="2023-08-21T00:00:00"/>
    <x v="3"/>
    <x v="5"/>
    <x v="553"/>
    <x v="3"/>
    <x v="2"/>
    <x v="3"/>
    <x v="57"/>
    <n v="12"/>
    <n v="1157"/>
  </r>
  <r>
    <d v="2023-08-21T00:00:00"/>
    <x v="3"/>
    <x v="5"/>
    <x v="554"/>
    <x v="4"/>
    <x v="1"/>
    <x v="1"/>
    <x v="596"/>
    <n v="9"/>
    <n v="85"/>
  </r>
  <r>
    <d v="2023-08-23T00:00:00"/>
    <x v="3"/>
    <x v="5"/>
    <x v="555"/>
    <x v="0"/>
    <x v="0"/>
    <x v="2"/>
    <x v="138"/>
    <n v="14"/>
    <n v="2045"/>
  </r>
  <r>
    <d v="2023-08-31T00:00:00"/>
    <x v="3"/>
    <x v="5"/>
    <x v="556"/>
    <x v="4"/>
    <x v="0"/>
    <x v="0"/>
    <x v="235"/>
    <n v="15"/>
    <n v="1335"/>
  </r>
  <r>
    <d v="2023-09-01T00:00:00"/>
    <x v="3"/>
    <x v="6"/>
    <x v="557"/>
    <x v="1"/>
    <x v="1"/>
    <x v="9"/>
    <x v="54"/>
    <n v="16"/>
    <n v="3033"/>
  </r>
  <r>
    <d v="2023-09-04T00:00:00"/>
    <x v="3"/>
    <x v="6"/>
    <x v="558"/>
    <x v="0"/>
    <x v="2"/>
    <x v="8"/>
    <x v="153"/>
    <n v="9"/>
    <n v="1686"/>
  </r>
  <r>
    <d v="2023-09-07T00:00:00"/>
    <x v="3"/>
    <x v="6"/>
    <x v="559"/>
    <x v="0"/>
    <x v="2"/>
    <x v="8"/>
    <x v="331"/>
    <n v="2"/>
    <n v="218"/>
  </r>
  <r>
    <d v="2023-09-10T00:00:00"/>
    <x v="3"/>
    <x v="6"/>
    <x v="560"/>
    <x v="1"/>
    <x v="1"/>
    <x v="6"/>
    <x v="597"/>
    <n v="19"/>
    <n v="67"/>
  </r>
  <r>
    <d v="2023-09-13T00:00:00"/>
    <x v="3"/>
    <x v="6"/>
    <x v="561"/>
    <x v="4"/>
    <x v="1"/>
    <x v="1"/>
    <x v="598"/>
    <n v="5"/>
    <n v="463"/>
  </r>
  <r>
    <d v="2023-09-13T00:00:00"/>
    <x v="3"/>
    <x v="6"/>
    <x v="561"/>
    <x v="4"/>
    <x v="0"/>
    <x v="11"/>
    <x v="599"/>
    <n v="20"/>
    <n v="803"/>
  </r>
  <r>
    <d v="2023-09-13T00:00:00"/>
    <x v="3"/>
    <x v="6"/>
    <x v="561"/>
    <x v="4"/>
    <x v="2"/>
    <x v="8"/>
    <x v="600"/>
    <n v="19"/>
    <n v="2159"/>
  </r>
  <r>
    <d v="2023-09-14T00:00:00"/>
    <x v="3"/>
    <x v="6"/>
    <x v="562"/>
    <x v="5"/>
    <x v="1"/>
    <x v="9"/>
    <x v="28"/>
    <n v="5"/>
    <n v="1800"/>
  </r>
  <r>
    <d v="2023-09-14T00:00:00"/>
    <x v="3"/>
    <x v="6"/>
    <x v="562"/>
    <x v="5"/>
    <x v="2"/>
    <x v="8"/>
    <x v="29"/>
    <n v="10"/>
    <n v="1274"/>
  </r>
  <r>
    <d v="2023-09-17T00:00:00"/>
    <x v="3"/>
    <x v="6"/>
    <x v="563"/>
    <x v="2"/>
    <x v="0"/>
    <x v="2"/>
    <x v="218"/>
    <n v="1"/>
    <n v="1470"/>
  </r>
  <r>
    <d v="2023-09-17T00:00:00"/>
    <x v="3"/>
    <x v="6"/>
    <x v="563"/>
    <x v="2"/>
    <x v="0"/>
    <x v="5"/>
    <x v="219"/>
    <n v="12"/>
    <n v="718"/>
  </r>
  <r>
    <d v="2023-09-17T00:00:00"/>
    <x v="3"/>
    <x v="6"/>
    <x v="563"/>
    <x v="2"/>
    <x v="1"/>
    <x v="9"/>
    <x v="220"/>
    <n v="10"/>
    <n v="855"/>
  </r>
  <r>
    <d v="2023-09-18T00:00:00"/>
    <x v="3"/>
    <x v="6"/>
    <x v="564"/>
    <x v="3"/>
    <x v="0"/>
    <x v="0"/>
    <x v="601"/>
    <n v="17"/>
    <n v="242"/>
  </r>
  <r>
    <d v="2023-09-18T00:00:00"/>
    <x v="3"/>
    <x v="6"/>
    <x v="564"/>
    <x v="3"/>
    <x v="1"/>
    <x v="9"/>
    <x v="98"/>
    <n v="13"/>
    <n v="155"/>
  </r>
  <r>
    <d v="2023-09-20T00:00:00"/>
    <x v="3"/>
    <x v="6"/>
    <x v="565"/>
    <x v="3"/>
    <x v="0"/>
    <x v="5"/>
    <x v="602"/>
    <n v="13"/>
    <n v="457"/>
  </r>
  <r>
    <d v="2023-09-20T00:00:00"/>
    <x v="3"/>
    <x v="6"/>
    <x v="566"/>
    <x v="2"/>
    <x v="1"/>
    <x v="1"/>
    <x v="603"/>
    <n v="12"/>
    <n v="142"/>
  </r>
  <r>
    <d v="2023-09-20T00:00:00"/>
    <x v="3"/>
    <x v="6"/>
    <x v="566"/>
    <x v="2"/>
    <x v="2"/>
    <x v="7"/>
    <x v="604"/>
    <n v="11"/>
    <n v="2628"/>
  </r>
  <r>
    <d v="2023-09-23T00:00:00"/>
    <x v="3"/>
    <x v="6"/>
    <x v="567"/>
    <x v="4"/>
    <x v="0"/>
    <x v="0"/>
    <x v="605"/>
    <n v="5"/>
    <n v="246"/>
  </r>
  <r>
    <d v="2023-09-27T00:00:00"/>
    <x v="3"/>
    <x v="6"/>
    <x v="568"/>
    <x v="2"/>
    <x v="0"/>
    <x v="5"/>
    <x v="606"/>
    <n v="6"/>
    <n v="3297"/>
  </r>
  <r>
    <d v="2023-09-27T00:00:00"/>
    <x v="3"/>
    <x v="6"/>
    <x v="568"/>
    <x v="2"/>
    <x v="0"/>
    <x v="5"/>
    <x v="607"/>
    <n v="20"/>
    <n v="4068"/>
  </r>
  <r>
    <d v="2023-09-27T00:00:00"/>
    <x v="3"/>
    <x v="6"/>
    <x v="568"/>
    <x v="2"/>
    <x v="0"/>
    <x v="11"/>
    <x v="608"/>
    <n v="8"/>
    <n v="1475"/>
  </r>
  <r>
    <d v="2023-09-30T00:00:00"/>
    <x v="3"/>
    <x v="6"/>
    <x v="569"/>
    <x v="0"/>
    <x v="0"/>
    <x v="5"/>
    <x v="574"/>
    <n v="1"/>
    <n v="828"/>
  </r>
  <r>
    <d v="2023-09-30T00:00:00"/>
    <x v="3"/>
    <x v="6"/>
    <x v="569"/>
    <x v="0"/>
    <x v="0"/>
    <x v="2"/>
    <x v="575"/>
    <n v="4"/>
    <n v="1002"/>
  </r>
  <r>
    <d v="2023-10-05T00:00:00"/>
    <x v="3"/>
    <x v="7"/>
    <x v="570"/>
    <x v="1"/>
    <x v="2"/>
    <x v="4"/>
    <x v="362"/>
    <n v="9"/>
    <n v="3040"/>
  </r>
  <r>
    <d v="2023-10-05T00:00:00"/>
    <x v="3"/>
    <x v="7"/>
    <x v="570"/>
    <x v="1"/>
    <x v="0"/>
    <x v="0"/>
    <x v="363"/>
    <n v="17"/>
    <n v="1491"/>
  </r>
  <r>
    <d v="2023-10-05T00:00:00"/>
    <x v="3"/>
    <x v="7"/>
    <x v="571"/>
    <x v="2"/>
    <x v="1"/>
    <x v="9"/>
    <x v="609"/>
    <n v="19"/>
    <n v="2770"/>
  </r>
  <r>
    <d v="2023-10-05T00:00:00"/>
    <x v="3"/>
    <x v="7"/>
    <x v="571"/>
    <x v="2"/>
    <x v="0"/>
    <x v="5"/>
    <x v="610"/>
    <n v="19"/>
    <n v="1594"/>
  </r>
  <r>
    <d v="2023-10-07T00:00:00"/>
    <x v="3"/>
    <x v="7"/>
    <x v="572"/>
    <x v="0"/>
    <x v="2"/>
    <x v="4"/>
    <x v="611"/>
    <n v="9"/>
    <n v="115"/>
  </r>
  <r>
    <d v="2023-10-11T00:00:00"/>
    <x v="3"/>
    <x v="7"/>
    <x v="573"/>
    <x v="1"/>
    <x v="0"/>
    <x v="2"/>
    <x v="138"/>
    <n v="14"/>
    <n v="2045"/>
  </r>
  <r>
    <d v="2023-10-13T00:00:00"/>
    <x v="3"/>
    <x v="7"/>
    <x v="574"/>
    <x v="1"/>
    <x v="0"/>
    <x v="0"/>
    <x v="612"/>
    <n v="4"/>
    <n v="1134"/>
  </r>
  <r>
    <d v="2023-10-13T00:00:00"/>
    <x v="3"/>
    <x v="7"/>
    <x v="574"/>
    <x v="1"/>
    <x v="2"/>
    <x v="3"/>
    <x v="613"/>
    <n v="2"/>
    <n v="246"/>
  </r>
  <r>
    <d v="2023-10-17T00:00:00"/>
    <x v="3"/>
    <x v="7"/>
    <x v="575"/>
    <x v="5"/>
    <x v="1"/>
    <x v="10"/>
    <x v="376"/>
    <n v="10"/>
    <n v="1415"/>
  </r>
  <r>
    <d v="2023-10-17T00:00:00"/>
    <x v="3"/>
    <x v="7"/>
    <x v="576"/>
    <x v="5"/>
    <x v="0"/>
    <x v="2"/>
    <x v="614"/>
    <n v="1"/>
    <n v="1536"/>
  </r>
  <r>
    <d v="2023-10-18T00:00:00"/>
    <x v="3"/>
    <x v="7"/>
    <x v="577"/>
    <x v="0"/>
    <x v="0"/>
    <x v="11"/>
    <x v="429"/>
    <n v="13"/>
    <n v="258"/>
  </r>
  <r>
    <d v="2023-10-18T00:00:00"/>
    <x v="3"/>
    <x v="7"/>
    <x v="577"/>
    <x v="0"/>
    <x v="0"/>
    <x v="11"/>
    <x v="430"/>
    <n v="17"/>
    <n v="3055"/>
  </r>
  <r>
    <d v="2023-10-18T00:00:00"/>
    <x v="3"/>
    <x v="7"/>
    <x v="577"/>
    <x v="0"/>
    <x v="2"/>
    <x v="7"/>
    <x v="431"/>
    <n v="15"/>
    <n v="2021"/>
  </r>
  <r>
    <d v="2023-10-18T00:00:00"/>
    <x v="3"/>
    <x v="7"/>
    <x v="578"/>
    <x v="4"/>
    <x v="1"/>
    <x v="1"/>
    <x v="193"/>
    <n v="15"/>
    <n v="1057"/>
  </r>
  <r>
    <d v="2023-10-20T00:00:00"/>
    <x v="3"/>
    <x v="7"/>
    <x v="579"/>
    <x v="1"/>
    <x v="1"/>
    <x v="10"/>
    <x v="615"/>
    <n v="6"/>
    <n v="2264"/>
  </r>
  <r>
    <d v="2023-10-24T00:00:00"/>
    <x v="3"/>
    <x v="7"/>
    <x v="580"/>
    <x v="1"/>
    <x v="2"/>
    <x v="8"/>
    <x v="59"/>
    <n v="16"/>
    <n v="158"/>
  </r>
  <r>
    <d v="2023-10-24T00:00:00"/>
    <x v="3"/>
    <x v="7"/>
    <x v="580"/>
    <x v="1"/>
    <x v="2"/>
    <x v="3"/>
    <x v="60"/>
    <n v="17"/>
    <n v="177"/>
  </r>
  <r>
    <d v="2023-10-25T00:00:00"/>
    <x v="3"/>
    <x v="7"/>
    <x v="581"/>
    <x v="5"/>
    <x v="1"/>
    <x v="6"/>
    <x v="616"/>
    <n v="5"/>
    <n v="1896"/>
  </r>
  <r>
    <d v="2023-10-27T00:00:00"/>
    <x v="3"/>
    <x v="7"/>
    <x v="582"/>
    <x v="3"/>
    <x v="0"/>
    <x v="11"/>
    <x v="168"/>
    <n v="14"/>
    <n v="894"/>
  </r>
  <r>
    <d v="2023-10-27T00:00:00"/>
    <x v="3"/>
    <x v="7"/>
    <x v="582"/>
    <x v="3"/>
    <x v="2"/>
    <x v="3"/>
    <x v="169"/>
    <n v="3"/>
    <n v="1478"/>
  </r>
  <r>
    <d v="2023-10-27T00:00:00"/>
    <x v="3"/>
    <x v="7"/>
    <x v="582"/>
    <x v="3"/>
    <x v="2"/>
    <x v="4"/>
    <x v="170"/>
    <n v="17"/>
    <n v="3121"/>
  </r>
  <r>
    <d v="2023-10-27T00:00:00"/>
    <x v="3"/>
    <x v="7"/>
    <x v="582"/>
    <x v="3"/>
    <x v="0"/>
    <x v="2"/>
    <x v="171"/>
    <n v="12"/>
    <n v="102"/>
  </r>
  <r>
    <d v="2023-10-28T00:00:00"/>
    <x v="3"/>
    <x v="7"/>
    <x v="583"/>
    <x v="3"/>
    <x v="2"/>
    <x v="4"/>
    <x v="617"/>
    <n v="1"/>
    <n v="1005"/>
  </r>
  <r>
    <d v="2023-10-28T00:00:00"/>
    <x v="3"/>
    <x v="7"/>
    <x v="583"/>
    <x v="3"/>
    <x v="1"/>
    <x v="1"/>
    <x v="618"/>
    <n v="8"/>
    <n v="558"/>
  </r>
  <r>
    <d v="2023-10-29T00:00:00"/>
    <x v="3"/>
    <x v="7"/>
    <x v="584"/>
    <x v="4"/>
    <x v="0"/>
    <x v="0"/>
    <x v="557"/>
    <n v="4"/>
    <n v="1801"/>
  </r>
  <r>
    <d v="2023-11-02T00:00:00"/>
    <x v="3"/>
    <x v="8"/>
    <x v="585"/>
    <x v="5"/>
    <x v="1"/>
    <x v="1"/>
    <x v="619"/>
    <n v="11"/>
    <n v="605"/>
  </r>
  <r>
    <d v="2023-11-04T00:00:00"/>
    <x v="3"/>
    <x v="8"/>
    <x v="586"/>
    <x v="0"/>
    <x v="2"/>
    <x v="4"/>
    <x v="620"/>
    <n v="1"/>
    <n v="4361"/>
  </r>
  <r>
    <d v="2023-11-05T00:00:00"/>
    <x v="3"/>
    <x v="8"/>
    <x v="587"/>
    <x v="1"/>
    <x v="1"/>
    <x v="1"/>
    <x v="621"/>
    <n v="12"/>
    <n v="3253"/>
  </r>
  <r>
    <d v="2023-11-06T00:00:00"/>
    <x v="3"/>
    <x v="8"/>
    <x v="588"/>
    <x v="2"/>
    <x v="1"/>
    <x v="9"/>
    <x v="488"/>
    <n v="3"/>
    <n v="1171"/>
  </r>
  <r>
    <d v="2023-11-07T00:00:00"/>
    <x v="3"/>
    <x v="8"/>
    <x v="589"/>
    <x v="2"/>
    <x v="0"/>
    <x v="2"/>
    <x v="622"/>
    <n v="15"/>
    <n v="2871"/>
  </r>
  <r>
    <d v="2023-11-07T00:00:00"/>
    <x v="3"/>
    <x v="8"/>
    <x v="589"/>
    <x v="2"/>
    <x v="2"/>
    <x v="3"/>
    <x v="623"/>
    <n v="1"/>
    <n v="2712"/>
  </r>
  <r>
    <d v="2023-11-09T00:00:00"/>
    <x v="3"/>
    <x v="8"/>
    <x v="590"/>
    <x v="0"/>
    <x v="1"/>
    <x v="1"/>
    <x v="624"/>
    <n v="10"/>
    <n v="1098"/>
  </r>
  <r>
    <d v="2023-11-09T00:00:00"/>
    <x v="3"/>
    <x v="8"/>
    <x v="590"/>
    <x v="0"/>
    <x v="1"/>
    <x v="6"/>
    <x v="625"/>
    <n v="18"/>
    <n v="262"/>
  </r>
  <r>
    <d v="2023-11-12T00:00:00"/>
    <x v="3"/>
    <x v="8"/>
    <x v="591"/>
    <x v="1"/>
    <x v="2"/>
    <x v="4"/>
    <x v="626"/>
    <n v="19"/>
    <n v="734"/>
  </r>
  <r>
    <d v="2023-11-12T00:00:00"/>
    <x v="3"/>
    <x v="8"/>
    <x v="592"/>
    <x v="4"/>
    <x v="1"/>
    <x v="9"/>
    <x v="488"/>
    <n v="3"/>
    <n v="1171"/>
  </r>
  <r>
    <d v="2023-11-18T00:00:00"/>
    <x v="3"/>
    <x v="8"/>
    <x v="593"/>
    <x v="5"/>
    <x v="2"/>
    <x v="7"/>
    <x v="356"/>
    <n v="5"/>
    <n v="247"/>
  </r>
  <r>
    <d v="2023-11-24T00:00:00"/>
    <x v="3"/>
    <x v="8"/>
    <x v="594"/>
    <x v="0"/>
    <x v="1"/>
    <x v="6"/>
    <x v="627"/>
    <n v="9"/>
    <n v="1968"/>
  </r>
  <r>
    <d v="2023-11-25T00:00:00"/>
    <x v="3"/>
    <x v="8"/>
    <x v="595"/>
    <x v="0"/>
    <x v="2"/>
    <x v="4"/>
    <x v="628"/>
    <n v="13"/>
    <n v="661"/>
  </r>
  <r>
    <d v="2023-11-28T00:00:00"/>
    <x v="3"/>
    <x v="8"/>
    <x v="596"/>
    <x v="2"/>
    <x v="0"/>
    <x v="0"/>
    <x v="629"/>
    <n v="18"/>
    <n v="444"/>
  </r>
  <r>
    <d v="2023-11-28T00:00:00"/>
    <x v="3"/>
    <x v="8"/>
    <x v="597"/>
    <x v="4"/>
    <x v="2"/>
    <x v="8"/>
    <x v="418"/>
    <n v="17"/>
    <n v="355"/>
  </r>
  <r>
    <d v="2023-11-29T00:00:00"/>
    <x v="3"/>
    <x v="8"/>
    <x v="598"/>
    <x v="4"/>
    <x v="2"/>
    <x v="8"/>
    <x v="630"/>
    <n v="4"/>
    <n v="3319"/>
  </r>
  <r>
    <d v="2023-11-30T00:00:00"/>
    <x v="3"/>
    <x v="8"/>
    <x v="599"/>
    <x v="2"/>
    <x v="1"/>
    <x v="9"/>
    <x v="367"/>
    <n v="4"/>
    <n v="297"/>
  </r>
  <r>
    <d v="2023-12-04T00:00:00"/>
    <x v="3"/>
    <x v="9"/>
    <x v="600"/>
    <x v="5"/>
    <x v="0"/>
    <x v="2"/>
    <x v="631"/>
    <n v="11"/>
    <n v="905"/>
  </r>
  <r>
    <d v="2023-12-04T00:00:00"/>
    <x v="3"/>
    <x v="9"/>
    <x v="600"/>
    <x v="5"/>
    <x v="2"/>
    <x v="8"/>
    <x v="632"/>
    <n v="5"/>
    <n v="2196"/>
  </r>
  <r>
    <d v="2023-12-07T00:00:00"/>
    <x v="3"/>
    <x v="9"/>
    <x v="601"/>
    <x v="4"/>
    <x v="0"/>
    <x v="11"/>
    <x v="633"/>
    <n v="15"/>
    <n v="2308"/>
  </r>
  <r>
    <d v="2023-12-07T00:00:00"/>
    <x v="3"/>
    <x v="9"/>
    <x v="601"/>
    <x v="4"/>
    <x v="0"/>
    <x v="5"/>
    <x v="422"/>
    <n v="14"/>
    <n v="1824"/>
  </r>
  <r>
    <d v="2023-12-08T00:00:00"/>
    <x v="3"/>
    <x v="9"/>
    <x v="602"/>
    <x v="2"/>
    <x v="0"/>
    <x v="0"/>
    <x v="634"/>
    <n v="7"/>
    <n v="212"/>
  </r>
  <r>
    <d v="2023-12-09T00:00:00"/>
    <x v="3"/>
    <x v="9"/>
    <x v="603"/>
    <x v="4"/>
    <x v="2"/>
    <x v="3"/>
    <x v="505"/>
    <n v="18"/>
    <n v="1423"/>
  </r>
  <r>
    <d v="2023-12-13T00:00:00"/>
    <x v="3"/>
    <x v="9"/>
    <x v="604"/>
    <x v="2"/>
    <x v="0"/>
    <x v="11"/>
    <x v="394"/>
    <n v="11"/>
    <n v="175"/>
  </r>
  <r>
    <d v="2023-12-13T00:00:00"/>
    <x v="3"/>
    <x v="9"/>
    <x v="604"/>
    <x v="2"/>
    <x v="0"/>
    <x v="0"/>
    <x v="395"/>
    <n v="15"/>
    <n v="1776"/>
  </r>
  <r>
    <d v="2023-12-14T00:00:00"/>
    <x v="3"/>
    <x v="9"/>
    <x v="605"/>
    <x v="2"/>
    <x v="1"/>
    <x v="6"/>
    <x v="635"/>
    <n v="4"/>
    <n v="1606"/>
  </r>
  <r>
    <d v="2023-12-14T00:00:00"/>
    <x v="3"/>
    <x v="9"/>
    <x v="605"/>
    <x v="2"/>
    <x v="1"/>
    <x v="1"/>
    <x v="636"/>
    <n v="11"/>
    <n v="554"/>
  </r>
  <r>
    <d v="2023-12-14T00:00:00"/>
    <x v="3"/>
    <x v="9"/>
    <x v="606"/>
    <x v="2"/>
    <x v="2"/>
    <x v="4"/>
    <x v="637"/>
    <n v="14"/>
    <n v="3096"/>
  </r>
  <r>
    <d v="2023-12-16T00:00:00"/>
    <x v="3"/>
    <x v="9"/>
    <x v="607"/>
    <x v="1"/>
    <x v="2"/>
    <x v="7"/>
    <x v="638"/>
    <n v="20"/>
    <n v="1598"/>
  </r>
  <r>
    <d v="2023-12-21T00:00:00"/>
    <x v="3"/>
    <x v="9"/>
    <x v="608"/>
    <x v="5"/>
    <x v="2"/>
    <x v="8"/>
    <x v="639"/>
    <n v="17"/>
    <n v="207"/>
  </r>
  <r>
    <d v="2023-12-24T00:00:00"/>
    <x v="3"/>
    <x v="9"/>
    <x v="609"/>
    <x v="5"/>
    <x v="0"/>
    <x v="2"/>
    <x v="76"/>
    <n v="1"/>
    <n v="1176"/>
  </r>
  <r>
    <d v="2023-12-24T00:00:00"/>
    <x v="3"/>
    <x v="9"/>
    <x v="609"/>
    <x v="5"/>
    <x v="2"/>
    <x v="8"/>
    <x v="77"/>
    <n v="5"/>
    <n v="1125"/>
  </r>
  <r>
    <d v="2023-12-24T00:00:00"/>
    <x v="3"/>
    <x v="9"/>
    <x v="609"/>
    <x v="5"/>
    <x v="0"/>
    <x v="5"/>
    <x v="78"/>
    <n v="14"/>
    <n v="253"/>
  </r>
  <r>
    <d v="2023-12-24T00:00:00"/>
    <x v="3"/>
    <x v="9"/>
    <x v="609"/>
    <x v="5"/>
    <x v="2"/>
    <x v="3"/>
    <x v="79"/>
    <n v="5"/>
    <n v="1239"/>
  </r>
  <r>
    <d v="2023-12-27T00:00:00"/>
    <x v="3"/>
    <x v="9"/>
    <x v="610"/>
    <x v="5"/>
    <x v="2"/>
    <x v="3"/>
    <x v="573"/>
    <n v="7"/>
    <n v="471"/>
  </r>
  <r>
    <d v="2023-12-28T00:00:00"/>
    <x v="3"/>
    <x v="9"/>
    <x v="611"/>
    <x v="1"/>
    <x v="2"/>
    <x v="7"/>
    <x v="640"/>
    <n v="18"/>
    <n v="2071"/>
  </r>
  <r>
    <d v="2023-12-28T00:00:00"/>
    <x v="3"/>
    <x v="9"/>
    <x v="611"/>
    <x v="1"/>
    <x v="0"/>
    <x v="0"/>
    <x v="641"/>
    <n v="8"/>
    <n v="4090"/>
  </r>
  <r>
    <d v="2023-12-28T00:00:00"/>
    <x v="3"/>
    <x v="9"/>
    <x v="612"/>
    <x v="1"/>
    <x v="0"/>
    <x v="5"/>
    <x v="548"/>
    <n v="12"/>
    <n v="4299"/>
  </r>
  <r>
    <d v="2024-01-05T00:00:00"/>
    <x v="4"/>
    <x v="10"/>
    <x v="613"/>
    <x v="2"/>
    <x v="1"/>
    <x v="6"/>
    <x v="597"/>
    <n v="19"/>
    <n v="67"/>
  </r>
  <r>
    <d v="2024-01-10T00:00:00"/>
    <x v="4"/>
    <x v="10"/>
    <x v="614"/>
    <x v="5"/>
    <x v="0"/>
    <x v="11"/>
    <x v="100"/>
    <n v="13"/>
    <n v="2631"/>
  </r>
  <r>
    <d v="2024-01-13T00:00:00"/>
    <x v="4"/>
    <x v="10"/>
    <x v="615"/>
    <x v="5"/>
    <x v="0"/>
    <x v="2"/>
    <x v="33"/>
    <n v="6"/>
    <n v="177"/>
  </r>
  <r>
    <d v="2024-01-13T00:00:00"/>
    <x v="4"/>
    <x v="10"/>
    <x v="615"/>
    <x v="5"/>
    <x v="1"/>
    <x v="9"/>
    <x v="642"/>
    <n v="18"/>
    <n v="625"/>
  </r>
  <r>
    <d v="2024-01-17T00:00:00"/>
    <x v="4"/>
    <x v="10"/>
    <x v="616"/>
    <x v="5"/>
    <x v="1"/>
    <x v="6"/>
    <x v="643"/>
    <n v="16"/>
    <n v="1390"/>
  </r>
  <r>
    <d v="2024-01-19T00:00:00"/>
    <x v="4"/>
    <x v="10"/>
    <x v="617"/>
    <x v="5"/>
    <x v="1"/>
    <x v="6"/>
    <x v="173"/>
    <n v="13"/>
    <n v="1403"/>
  </r>
  <r>
    <d v="2024-01-19T00:00:00"/>
    <x v="4"/>
    <x v="10"/>
    <x v="617"/>
    <x v="5"/>
    <x v="2"/>
    <x v="4"/>
    <x v="174"/>
    <n v="14"/>
    <n v="388"/>
  </r>
  <r>
    <d v="2024-01-22T00:00:00"/>
    <x v="4"/>
    <x v="10"/>
    <x v="618"/>
    <x v="3"/>
    <x v="1"/>
    <x v="1"/>
    <x v="519"/>
    <n v="13"/>
    <n v="584"/>
  </r>
  <r>
    <d v="2024-01-22T00:00:00"/>
    <x v="4"/>
    <x v="10"/>
    <x v="618"/>
    <x v="3"/>
    <x v="1"/>
    <x v="9"/>
    <x v="520"/>
    <n v="14"/>
    <n v="154"/>
  </r>
  <r>
    <d v="2024-01-22T00:00:00"/>
    <x v="4"/>
    <x v="10"/>
    <x v="618"/>
    <x v="3"/>
    <x v="1"/>
    <x v="6"/>
    <x v="521"/>
    <n v="15"/>
    <n v="109"/>
  </r>
  <r>
    <d v="2024-01-23T00:00:00"/>
    <x v="4"/>
    <x v="10"/>
    <x v="619"/>
    <x v="5"/>
    <x v="1"/>
    <x v="6"/>
    <x v="644"/>
    <n v="1"/>
    <n v="265"/>
  </r>
  <r>
    <d v="2024-01-24T00:00:00"/>
    <x v="4"/>
    <x v="10"/>
    <x v="620"/>
    <x v="4"/>
    <x v="0"/>
    <x v="5"/>
    <x v="38"/>
    <n v="4"/>
    <n v="804"/>
  </r>
  <r>
    <d v="2024-01-28T00:00:00"/>
    <x v="4"/>
    <x v="10"/>
    <x v="621"/>
    <x v="2"/>
    <x v="1"/>
    <x v="1"/>
    <x v="645"/>
    <n v="1"/>
    <n v="528"/>
  </r>
  <r>
    <d v="2024-01-28T00:00:00"/>
    <x v="4"/>
    <x v="10"/>
    <x v="621"/>
    <x v="2"/>
    <x v="1"/>
    <x v="10"/>
    <x v="646"/>
    <n v="16"/>
    <n v="167"/>
  </r>
  <r>
    <d v="2024-02-01T00:00:00"/>
    <x v="4"/>
    <x v="11"/>
    <x v="622"/>
    <x v="5"/>
    <x v="1"/>
    <x v="10"/>
    <x v="273"/>
    <n v="10"/>
    <n v="1169"/>
  </r>
  <r>
    <d v="2024-02-01T00:00:00"/>
    <x v="4"/>
    <x v="11"/>
    <x v="622"/>
    <x v="5"/>
    <x v="1"/>
    <x v="10"/>
    <x v="274"/>
    <n v="1"/>
    <n v="1490"/>
  </r>
  <r>
    <d v="2024-02-02T00:00:00"/>
    <x v="4"/>
    <x v="11"/>
    <x v="623"/>
    <x v="3"/>
    <x v="2"/>
    <x v="4"/>
    <x v="647"/>
    <n v="14"/>
    <n v="432"/>
  </r>
  <r>
    <d v="2024-02-07T00:00:00"/>
    <x v="4"/>
    <x v="11"/>
    <x v="624"/>
    <x v="3"/>
    <x v="0"/>
    <x v="11"/>
    <x v="99"/>
    <n v="12"/>
    <n v="999"/>
  </r>
  <r>
    <d v="2024-02-07T00:00:00"/>
    <x v="4"/>
    <x v="11"/>
    <x v="625"/>
    <x v="2"/>
    <x v="0"/>
    <x v="5"/>
    <x v="463"/>
    <n v="18"/>
    <n v="135"/>
  </r>
  <r>
    <d v="2024-02-10T00:00:00"/>
    <x v="4"/>
    <x v="11"/>
    <x v="626"/>
    <x v="3"/>
    <x v="2"/>
    <x v="3"/>
    <x v="167"/>
    <n v="15"/>
    <n v="961"/>
  </r>
  <r>
    <d v="2024-02-11T00:00:00"/>
    <x v="4"/>
    <x v="11"/>
    <x v="627"/>
    <x v="2"/>
    <x v="2"/>
    <x v="3"/>
    <x v="213"/>
    <n v="20"/>
    <n v="2358"/>
  </r>
  <r>
    <d v="2024-02-11T00:00:00"/>
    <x v="4"/>
    <x v="11"/>
    <x v="628"/>
    <x v="0"/>
    <x v="1"/>
    <x v="1"/>
    <x v="36"/>
    <n v="5"/>
    <n v="229"/>
  </r>
  <r>
    <d v="2024-02-12T00:00:00"/>
    <x v="4"/>
    <x v="11"/>
    <x v="629"/>
    <x v="0"/>
    <x v="2"/>
    <x v="4"/>
    <x v="648"/>
    <n v="18"/>
    <n v="319"/>
  </r>
  <r>
    <d v="2024-02-13T00:00:00"/>
    <x v="4"/>
    <x v="11"/>
    <x v="630"/>
    <x v="2"/>
    <x v="1"/>
    <x v="1"/>
    <x v="649"/>
    <n v="3"/>
    <n v="999"/>
  </r>
  <r>
    <d v="2024-02-16T00:00:00"/>
    <x v="4"/>
    <x v="11"/>
    <x v="631"/>
    <x v="2"/>
    <x v="1"/>
    <x v="10"/>
    <x v="650"/>
    <n v="7"/>
    <n v="600"/>
  </r>
  <r>
    <d v="2024-02-16T00:00:00"/>
    <x v="4"/>
    <x v="11"/>
    <x v="631"/>
    <x v="2"/>
    <x v="0"/>
    <x v="2"/>
    <x v="651"/>
    <n v="19"/>
    <n v="1942"/>
  </r>
  <r>
    <d v="2024-02-19T00:00:00"/>
    <x v="4"/>
    <x v="11"/>
    <x v="632"/>
    <x v="2"/>
    <x v="2"/>
    <x v="8"/>
    <x v="652"/>
    <n v="5"/>
    <n v="1318"/>
  </r>
  <r>
    <d v="2024-02-20T00:00:00"/>
    <x v="4"/>
    <x v="11"/>
    <x v="633"/>
    <x v="4"/>
    <x v="2"/>
    <x v="8"/>
    <x v="653"/>
    <n v="4"/>
    <n v="730"/>
  </r>
  <r>
    <d v="2024-02-20T00:00:00"/>
    <x v="4"/>
    <x v="11"/>
    <x v="633"/>
    <x v="4"/>
    <x v="0"/>
    <x v="11"/>
    <x v="654"/>
    <n v="4"/>
    <n v="418"/>
  </r>
  <r>
    <d v="2024-02-21T00:00:00"/>
    <x v="4"/>
    <x v="11"/>
    <x v="634"/>
    <x v="1"/>
    <x v="2"/>
    <x v="7"/>
    <x v="489"/>
    <n v="5"/>
    <n v="3618"/>
  </r>
  <r>
    <d v="2024-02-25T00:00:00"/>
    <x v="4"/>
    <x v="11"/>
    <x v="635"/>
    <x v="2"/>
    <x v="0"/>
    <x v="11"/>
    <x v="241"/>
    <n v="16"/>
    <n v="3289"/>
  </r>
  <r>
    <d v="2024-02-25T00:00:00"/>
    <x v="4"/>
    <x v="11"/>
    <x v="635"/>
    <x v="2"/>
    <x v="1"/>
    <x v="6"/>
    <x v="242"/>
    <n v="20"/>
    <n v="3698"/>
  </r>
  <r>
    <d v="2024-02-28T00:00:00"/>
    <x v="4"/>
    <x v="11"/>
    <x v="636"/>
    <x v="5"/>
    <x v="2"/>
    <x v="8"/>
    <x v="655"/>
    <n v="18"/>
    <n v="1192"/>
  </r>
  <r>
    <d v="2024-03-02T00:00:00"/>
    <x v="4"/>
    <x v="0"/>
    <x v="637"/>
    <x v="3"/>
    <x v="1"/>
    <x v="9"/>
    <x v="211"/>
    <n v="5"/>
    <n v="568"/>
  </r>
  <r>
    <d v="2024-03-02T00:00:00"/>
    <x v="4"/>
    <x v="0"/>
    <x v="637"/>
    <x v="3"/>
    <x v="1"/>
    <x v="1"/>
    <x v="212"/>
    <n v="9"/>
    <n v="2020"/>
  </r>
  <r>
    <d v="2024-03-04T00:00:00"/>
    <x v="4"/>
    <x v="0"/>
    <x v="638"/>
    <x v="2"/>
    <x v="1"/>
    <x v="9"/>
    <x v="656"/>
    <n v="6"/>
    <n v="848"/>
  </r>
  <r>
    <d v="2024-03-10T00:00:00"/>
    <x v="4"/>
    <x v="0"/>
    <x v="639"/>
    <x v="2"/>
    <x v="1"/>
    <x v="9"/>
    <x v="609"/>
    <n v="19"/>
    <n v="2770"/>
  </r>
  <r>
    <d v="2024-03-10T00:00:00"/>
    <x v="4"/>
    <x v="0"/>
    <x v="639"/>
    <x v="2"/>
    <x v="0"/>
    <x v="5"/>
    <x v="610"/>
    <n v="19"/>
    <n v="1594"/>
  </r>
  <r>
    <d v="2024-03-11T00:00:00"/>
    <x v="4"/>
    <x v="0"/>
    <x v="640"/>
    <x v="0"/>
    <x v="1"/>
    <x v="9"/>
    <x v="540"/>
    <n v="7"/>
    <n v="1982"/>
  </r>
  <r>
    <d v="2024-03-12T00:00:00"/>
    <x v="4"/>
    <x v="0"/>
    <x v="641"/>
    <x v="5"/>
    <x v="2"/>
    <x v="7"/>
    <x v="562"/>
    <n v="9"/>
    <n v="2826"/>
  </r>
  <r>
    <d v="2024-03-13T00:00:00"/>
    <x v="4"/>
    <x v="0"/>
    <x v="642"/>
    <x v="5"/>
    <x v="2"/>
    <x v="7"/>
    <x v="657"/>
    <n v="19"/>
    <n v="4045"/>
  </r>
  <r>
    <d v="2024-03-13T00:00:00"/>
    <x v="4"/>
    <x v="0"/>
    <x v="642"/>
    <x v="5"/>
    <x v="0"/>
    <x v="0"/>
    <x v="658"/>
    <n v="17"/>
    <n v="482"/>
  </r>
  <r>
    <d v="2024-03-15T00:00:00"/>
    <x v="4"/>
    <x v="0"/>
    <x v="643"/>
    <x v="1"/>
    <x v="0"/>
    <x v="0"/>
    <x v="129"/>
    <n v="3"/>
    <n v="615"/>
  </r>
  <r>
    <d v="2024-03-15T00:00:00"/>
    <x v="4"/>
    <x v="0"/>
    <x v="643"/>
    <x v="1"/>
    <x v="2"/>
    <x v="4"/>
    <x v="130"/>
    <n v="5"/>
    <n v="1134"/>
  </r>
  <r>
    <d v="2024-03-17T00:00:00"/>
    <x v="4"/>
    <x v="0"/>
    <x v="644"/>
    <x v="3"/>
    <x v="1"/>
    <x v="1"/>
    <x v="659"/>
    <n v="17"/>
    <n v="858"/>
  </r>
  <r>
    <d v="2024-03-17T00:00:00"/>
    <x v="4"/>
    <x v="0"/>
    <x v="644"/>
    <x v="3"/>
    <x v="2"/>
    <x v="3"/>
    <x v="660"/>
    <n v="15"/>
    <n v="2529"/>
  </r>
  <r>
    <d v="2024-03-17T00:00:00"/>
    <x v="4"/>
    <x v="0"/>
    <x v="645"/>
    <x v="1"/>
    <x v="2"/>
    <x v="7"/>
    <x v="562"/>
    <n v="9"/>
    <n v="2826"/>
  </r>
  <r>
    <d v="2024-03-21T00:00:00"/>
    <x v="4"/>
    <x v="0"/>
    <x v="646"/>
    <x v="0"/>
    <x v="1"/>
    <x v="9"/>
    <x v="146"/>
    <n v="13"/>
    <n v="945"/>
  </r>
  <r>
    <d v="2024-03-23T00:00:00"/>
    <x v="4"/>
    <x v="0"/>
    <x v="43"/>
    <x v="1"/>
    <x v="2"/>
    <x v="8"/>
    <x v="661"/>
    <n v="17"/>
    <n v="2405"/>
  </r>
  <r>
    <d v="2024-03-24T00:00:00"/>
    <x v="4"/>
    <x v="0"/>
    <x v="647"/>
    <x v="4"/>
    <x v="0"/>
    <x v="0"/>
    <x v="662"/>
    <n v="12"/>
    <n v="3429"/>
  </r>
  <r>
    <d v="2024-03-27T00:00:00"/>
    <x v="4"/>
    <x v="0"/>
    <x v="648"/>
    <x v="0"/>
    <x v="0"/>
    <x v="5"/>
    <x v="370"/>
    <n v="17"/>
    <n v="397"/>
  </r>
  <r>
    <d v="2024-03-27T00:00:00"/>
    <x v="4"/>
    <x v="0"/>
    <x v="648"/>
    <x v="0"/>
    <x v="1"/>
    <x v="6"/>
    <x v="371"/>
    <n v="11"/>
    <n v="88"/>
  </r>
  <r>
    <d v="2024-03-27T00:00:00"/>
    <x v="4"/>
    <x v="0"/>
    <x v="649"/>
    <x v="3"/>
    <x v="1"/>
    <x v="9"/>
    <x v="64"/>
    <n v="5"/>
    <n v="410"/>
  </r>
  <r>
    <d v="2024-03-27T00:00:00"/>
    <x v="4"/>
    <x v="0"/>
    <x v="649"/>
    <x v="3"/>
    <x v="1"/>
    <x v="10"/>
    <x v="65"/>
    <n v="4"/>
    <n v="534"/>
  </r>
  <r>
    <d v="2024-03-30T00:00:00"/>
    <x v="4"/>
    <x v="0"/>
    <x v="650"/>
    <x v="3"/>
    <x v="0"/>
    <x v="2"/>
    <x v="663"/>
    <n v="16"/>
    <n v="85"/>
  </r>
  <r>
    <d v="2024-03-30T00:00:00"/>
    <x v="4"/>
    <x v="0"/>
    <x v="651"/>
    <x v="3"/>
    <x v="2"/>
    <x v="8"/>
    <x v="268"/>
    <n v="11"/>
    <n v="2618"/>
  </r>
  <r>
    <d v="2024-04-02T00:00:00"/>
    <x v="4"/>
    <x v="1"/>
    <x v="652"/>
    <x v="4"/>
    <x v="1"/>
    <x v="6"/>
    <x v="497"/>
    <n v="2"/>
    <n v="379"/>
  </r>
  <r>
    <d v="2024-04-07T00:00:00"/>
    <x v="4"/>
    <x v="1"/>
    <x v="653"/>
    <x v="4"/>
    <x v="1"/>
    <x v="10"/>
    <x v="664"/>
    <n v="3"/>
    <n v="3602"/>
  </r>
  <r>
    <d v="2024-04-10T00:00:00"/>
    <x v="4"/>
    <x v="1"/>
    <x v="654"/>
    <x v="1"/>
    <x v="2"/>
    <x v="3"/>
    <x v="665"/>
    <n v="8"/>
    <n v="2673"/>
  </r>
  <r>
    <d v="2024-04-13T00:00:00"/>
    <x v="4"/>
    <x v="1"/>
    <x v="655"/>
    <x v="5"/>
    <x v="2"/>
    <x v="4"/>
    <x v="666"/>
    <n v="1"/>
    <n v="655"/>
  </r>
  <r>
    <d v="2024-04-16T00:00:00"/>
    <x v="4"/>
    <x v="1"/>
    <x v="656"/>
    <x v="0"/>
    <x v="1"/>
    <x v="6"/>
    <x v="667"/>
    <n v="9"/>
    <n v="1221"/>
  </r>
  <r>
    <d v="2024-04-16T00:00:00"/>
    <x v="4"/>
    <x v="1"/>
    <x v="656"/>
    <x v="0"/>
    <x v="1"/>
    <x v="1"/>
    <x v="668"/>
    <n v="1"/>
    <n v="963"/>
  </r>
  <r>
    <d v="2024-04-16T00:00:00"/>
    <x v="4"/>
    <x v="1"/>
    <x v="657"/>
    <x v="4"/>
    <x v="0"/>
    <x v="2"/>
    <x v="669"/>
    <n v="11"/>
    <n v="1381"/>
  </r>
  <r>
    <d v="2024-04-16T00:00:00"/>
    <x v="4"/>
    <x v="1"/>
    <x v="658"/>
    <x v="0"/>
    <x v="0"/>
    <x v="2"/>
    <x v="622"/>
    <n v="15"/>
    <n v="2871"/>
  </r>
  <r>
    <d v="2024-04-16T00:00:00"/>
    <x v="4"/>
    <x v="1"/>
    <x v="658"/>
    <x v="0"/>
    <x v="2"/>
    <x v="3"/>
    <x v="623"/>
    <n v="1"/>
    <n v="2712"/>
  </r>
  <r>
    <d v="2024-04-16T00:00:00"/>
    <x v="4"/>
    <x v="1"/>
    <x v="659"/>
    <x v="0"/>
    <x v="1"/>
    <x v="6"/>
    <x v="231"/>
    <n v="5"/>
    <n v="235"/>
  </r>
  <r>
    <d v="2024-04-23T00:00:00"/>
    <x v="4"/>
    <x v="1"/>
    <x v="660"/>
    <x v="5"/>
    <x v="1"/>
    <x v="1"/>
    <x v="670"/>
    <n v="2"/>
    <n v="2117"/>
  </r>
  <r>
    <d v="2024-04-24T00:00:00"/>
    <x v="4"/>
    <x v="1"/>
    <x v="661"/>
    <x v="4"/>
    <x v="2"/>
    <x v="8"/>
    <x v="331"/>
    <n v="2"/>
    <n v="218"/>
  </r>
  <r>
    <d v="2024-04-25T00:00:00"/>
    <x v="4"/>
    <x v="1"/>
    <x v="662"/>
    <x v="4"/>
    <x v="0"/>
    <x v="2"/>
    <x v="540"/>
    <n v="6"/>
    <n v="1836"/>
  </r>
  <r>
    <d v="2024-04-25T00:00:00"/>
    <x v="4"/>
    <x v="1"/>
    <x v="662"/>
    <x v="4"/>
    <x v="1"/>
    <x v="9"/>
    <x v="541"/>
    <n v="15"/>
    <n v="2596"/>
  </r>
  <r>
    <d v="2024-04-29T00:00:00"/>
    <x v="4"/>
    <x v="1"/>
    <x v="663"/>
    <x v="4"/>
    <x v="0"/>
    <x v="2"/>
    <x v="501"/>
    <n v="7"/>
    <n v="2107"/>
  </r>
  <r>
    <d v="2024-04-29T00:00:00"/>
    <x v="4"/>
    <x v="1"/>
    <x v="663"/>
    <x v="4"/>
    <x v="2"/>
    <x v="8"/>
    <x v="502"/>
    <n v="3"/>
    <n v="230"/>
  </r>
  <r>
    <d v="2024-04-29T00:00:00"/>
    <x v="4"/>
    <x v="1"/>
    <x v="663"/>
    <x v="4"/>
    <x v="2"/>
    <x v="3"/>
    <x v="503"/>
    <n v="7"/>
    <n v="525"/>
  </r>
  <r>
    <d v="2024-04-29T00:00:00"/>
    <x v="4"/>
    <x v="1"/>
    <x v="663"/>
    <x v="4"/>
    <x v="2"/>
    <x v="3"/>
    <x v="504"/>
    <n v="18"/>
    <n v="586"/>
  </r>
  <r>
    <d v="2024-04-29T00:00:00"/>
    <x v="4"/>
    <x v="1"/>
    <x v="664"/>
    <x v="1"/>
    <x v="2"/>
    <x v="8"/>
    <x v="671"/>
    <n v="9"/>
    <n v="3295"/>
  </r>
  <r>
    <d v="2024-04-29T00:00:00"/>
    <x v="4"/>
    <x v="1"/>
    <x v="664"/>
    <x v="1"/>
    <x v="1"/>
    <x v="1"/>
    <x v="672"/>
    <n v="8"/>
    <n v="3666"/>
  </r>
  <r>
    <d v="2024-04-29T00:00:00"/>
    <x v="4"/>
    <x v="1"/>
    <x v="664"/>
    <x v="1"/>
    <x v="2"/>
    <x v="4"/>
    <x v="673"/>
    <n v="14"/>
    <n v="314"/>
  </r>
  <r>
    <d v="2024-05-01T00:00:00"/>
    <x v="4"/>
    <x v="2"/>
    <x v="665"/>
    <x v="3"/>
    <x v="1"/>
    <x v="10"/>
    <x v="674"/>
    <n v="3"/>
    <n v="2529"/>
  </r>
  <r>
    <d v="2024-05-02T00:00:00"/>
    <x v="4"/>
    <x v="2"/>
    <x v="666"/>
    <x v="5"/>
    <x v="2"/>
    <x v="3"/>
    <x v="333"/>
    <n v="1"/>
    <n v="1353"/>
  </r>
  <r>
    <d v="2024-05-02T00:00:00"/>
    <x v="4"/>
    <x v="2"/>
    <x v="667"/>
    <x v="4"/>
    <x v="2"/>
    <x v="8"/>
    <x v="675"/>
    <n v="8"/>
    <n v="2322"/>
  </r>
  <r>
    <d v="2024-05-05T00:00:00"/>
    <x v="4"/>
    <x v="2"/>
    <x v="668"/>
    <x v="2"/>
    <x v="2"/>
    <x v="3"/>
    <x v="676"/>
    <n v="4"/>
    <n v="937"/>
  </r>
  <r>
    <d v="2024-05-08T00:00:00"/>
    <x v="4"/>
    <x v="2"/>
    <x v="669"/>
    <x v="4"/>
    <x v="1"/>
    <x v="6"/>
    <x v="597"/>
    <n v="19"/>
    <n v="67"/>
  </r>
  <r>
    <d v="2024-05-11T00:00:00"/>
    <x v="4"/>
    <x v="2"/>
    <x v="670"/>
    <x v="2"/>
    <x v="1"/>
    <x v="1"/>
    <x v="282"/>
    <n v="12"/>
    <n v="185"/>
  </r>
  <r>
    <d v="2024-05-13T00:00:00"/>
    <x v="4"/>
    <x v="2"/>
    <x v="671"/>
    <x v="4"/>
    <x v="2"/>
    <x v="4"/>
    <x v="26"/>
    <n v="6"/>
    <n v="104"/>
  </r>
  <r>
    <d v="2024-05-13T00:00:00"/>
    <x v="4"/>
    <x v="2"/>
    <x v="671"/>
    <x v="4"/>
    <x v="2"/>
    <x v="4"/>
    <x v="27"/>
    <n v="1"/>
    <n v="116"/>
  </r>
  <r>
    <d v="2024-05-14T00:00:00"/>
    <x v="4"/>
    <x v="2"/>
    <x v="672"/>
    <x v="3"/>
    <x v="2"/>
    <x v="4"/>
    <x v="144"/>
    <n v="2"/>
    <n v="342"/>
  </r>
  <r>
    <d v="2024-05-19T00:00:00"/>
    <x v="4"/>
    <x v="2"/>
    <x v="673"/>
    <x v="2"/>
    <x v="1"/>
    <x v="6"/>
    <x v="44"/>
    <n v="10"/>
    <n v="1581"/>
  </r>
  <r>
    <d v="2024-05-19T00:00:00"/>
    <x v="4"/>
    <x v="2"/>
    <x v="673"/>
    <x v="2"/>
    <x v="2"/>
    <x v="8"/>
    <x v="45"/>
    <n v="11"/>
    <n v="349"/>
  </r>
  <r>
    <d v="2024-05-20T00:00:00"/>
    <x v="4"/>
    <x v="2"/>
    <x v="674"/>
    <x v="5"/>
    <x v="2"/>
    <x v="8"/>
    <x v="630"/>
    <n v="4"/>
    <n v="3319"/>
  </r>
  <r>
    <d v="2024-05-21T00:00:00"/>
    <x v="4"/>
    <x v="2"/>
    <x v="675"/>
    <x v="4"/>
    <x v="2"/>
    <x v="7"/>
    <x v="677"/>
    <n v="19"/>
    <n v="611"/>
  </r>
  <r>
    <d v="2024-05-21T00:00:00"/>
    <x v="4"/>
    <x v="2"/>
    <x v="676"/>
    <x v="3"/>
    <x v="1"/>
    <x v="10"/>
    <x v="642"/>
    <n v="12"/>
    <n v="103"/>
  </r>
  <r>
    <d v="2024-05-24T00:00:00"/>
    <x v="4"/>
    <x v="2"/>
    <x v="677"/>
    <x v="4"/>
    <x v="0"/>
    <x v="0"/>
    <x v="502"/>
    <n v="13"/>
    <n v="482"/>
  </r>
  <r>
    <d v="2024-05-26T00:00:00"/>
    <x v="4"/>
    <x v="2"/>
    <x v="678"/>
    <x v="4"/>
    <x v="1"/>
    <x v="1"/>
    <x v="369"/>
    <n v="3"/>
    <n v="1477"/>
  </r>
  <r>
    <d v="2024-05-28T00:00:00"/>
    <x v="4"/>
    <x v="2"/>
    <x v="679"/>
    <x v="0"/>
    <x v="0"/>
    <x v="2"/>
    <x v="200"/>
    <n v="16"/>
    <n v="3098"/>
  </r>
  <r>
    <d v="2024-05-28T00:00:00"/>
    <x v="4"/>
    <x v="2"/>
    <x v="679"/>
    <x v="0"/>
    <x v="0"/>
    <x v="0"/>
    <x v="201"/>
    <n v="11"/>
    <n v="356"/>
  </r>
  <r>
    <d v="2024-05-29T00:00:00"/>
    <x v="4"/>
    <x v="2"/>
    <x v="680"/>
    <x v="5"/>
    <x v="2"/>
    <x v="4"/>
    <x v="340"/>
    <n v="8"/>
    <n v="2456"/>
  </r>
  <r>
    <d v="2024-05-29T00:00:00"/>
    <x v="4"/>
    <x v="2"/>
    <x v="681"/>
    <x v="2"/>
    <x v="2"/>
    <x v="8"/>
    <x v="145"/>
    <n v="3"/>
    <n v="1330"/>
  </r>
  <r>
    <d v="2024-05-30T00:00:00"/>
    <x v="4"/>
    <x v="2"/>
    <x v="682"/>
    <x v="1"/>
    <x v="0"/>
    <x v="2"/>
    <x v="678"/>
    <n v="11"/>
    <n v="414"/>
  </r>
  <r>
    <d v="2024-05-30T00:00:00"/>
    <x v="4"/>
    <x v="2"/>
    <x v="682"/>
    <x v="1"/>
    <x v="1"/>
    <x v="10"/>
    <x v="679"/>
    <n v="18"/>
    <n v="1644"/>
  </r>
  <r>
    <d v="2024-05-30T00:00:00"/>
    <x v="4"/>
    <x v="2"/>
    <x v="682"/>
    <x v="1"/>
    <x v="1"/>
    <x v="6"/>
    <x v="680"/>
    <n v="17"/>
    <n v="72"/>
  </r>
  <r>
    <d v="2024-05-31T00:00:00"/>
    <x v="4"/>
    <x v="2"/>
    <x v="683"/>
    <x v="0"/>
    <x v="2"/>
    <x v="8"/>
    <x v="681"/>
    <n v="1"/>
    <n v="105"/>
  </r>
  <r>
    <d v="2024-05-31T00:00:00"/>
    <x v="4"/>
    <x v="2"/>
    <x v="683"/>
    <x v="0"/>
    <x v="1"/>
    <x v="1"/>
    <x v="682"/>
    <n v="7"/>
    <n v="3010"/>
  </r>
  <r>
    <d v="2024-06-06T00:00:00"/>
    <x v="4"/>
    <x v="3"/>
    <x v="684"/>
    <x v="5"/>
    <x v="2"/>
    <x v="4"/>
    <x v="529"/>
    <n v="17"/>
    <n v="73"/>
  </r>
  <r>
    <d v="2024-06-06T00:00:00"/>
    <x v="4"/>
    <x v="3"/>
    <x v="684"/>
    <x v="5"/>
    <x v="2"/>
    <x v="7"/>
    <x v="530"/>
    <n v="19"/>
    <n v="1168"/>
  </r>
  <r>
    <d v="2024-06-07T00:00:00"/>
    <x v="4"/>
    <x v="3"/>
    <x v="685"/>
    <x v="1"/>
    <x v="0"/>
    <x v="11"/>
    <x v="683"/>
    <n v="4"/>
    <n v="1576"/>
  </r>
  <r>
    <d v="2024-06-08T00:00:00"/>
    <x v="4"/>
    <x v="3"/>
    <x v="686"/>
    <x v="1"/>
    <x v="2"/>
    <x v="3"/>
    <x v="436"/>
    <n v="16"/>
    <n v="3858"/>
  </r>
  <r>
    <d v="2024-06-08T00:00:00"/>
    <x v="4"/>
    <x v="3"/>
    <x v="686"/>
    <x v="1"/>
    <x v="1"/>
    <x v="1"/>
    <x v="437"/>
    <n v="7"/>
    <n v="292"/>
  </r>
  <r>
    <d v="2024-06-08T00:00:00"/>
    <x v="4"/>
    <x v="3"/>
    <x v="686"/>
    <x v="1"/>
    <x v="2"/>
    <x v="7"/>
    <x v="438"/>
    <n v="17"/>
    <n v="662"/>
  </r>
  <r>
    <d v="2024-06-12T00:00:00"/>
    <x v="4"/>
    <x v="3"/>
    <x v="687"/>
    <x v="5"/>
    <x v="0"/>
    <x v="2"/>
    <x v="684"/>
    <n v="18"/>
    <n v="1559"/>
  </r>
  <r>
    <d v="2024-06-12T00:00:00"/>
    <x v="4"/>
    <x v="3"/>
    <x v="687"/>
    <x v="5"/>
    <x v="1"/>
    <x v="1"/>
    <x v="685"/>
    <n v="12"/>
    <n v="1045"/>
  </r>
  <r>
    <d v="2024-06-12T00:00:00"/>
    <x v="4"/>
    <x v="3"/>
    <x v="687"/>
    <x v="5"/>
    <x v="2"/>
    <x v="8"/>
    <x v="686"/>
    <n v="4"/>
    <n v="714"/>
  </r>
  <r>
    <d v="2024-06-12T00:00:00"/>
    <x v="4"/>
    <x v="3"/>
    <x v="687"/>
    <x v="5"/>
    <x v="1"/>
    <x v="10"/>
    <x v="687"/>
    <n v="14"/>
    <n v="2469"/>
  </r>
  <r>
    <d v="2024-06-15T00:00:00"/>
    <x v="4"/>
    <x v="3"/>
    <x v="688"/>
    <x v="1"/>
    <x v="1"/>
    <x v="9"/>
    <x v="688"/>
    <n v="12"/>
    <n v="204"/>
  </r>
  <r>
    <d v="2024-06-15T00:00:00"/>
    <x v="4"/>
    <x v="3"/>
    <x v="689"/>
    <x v="1"/>
    <x v="0"/>
    <x v="0"/>
    <x v="42"/>
    <n v="2"/>
    <n v="713"/>
  </r>
  <r>
    <d v="2024-06-15T00:00:00"/>
    <x v="4"/>
    <x v="3"/>
    <x v="690"/>
    <x v="1"/>
    <x v="0"/>
    <x v="0"/>
    <x v="203"/>
    <n v="18"/>
    <n v="2189"/>
  </r>
  <r>
    <d v="2024-06-16T00:00:00"/>
    <x v="4"/>
    <x v="3"/>
    <x v="691"/>
    <x v="2"/>
    <x v="0"/>
    <x v="11"/>
    <x v="689"/>
    <n v="6"/>
    <n v="2508"/>
  </r>
  <r>
    <d v="2024-06-16T00:00:00"/>
    <x v="4"/>
    <x v="3"/>
    <x v="691"/>
    <x v="2"/>
    <x v="2"/>
    <x v="8"/>
    <x v="690"/>
    <n v="15"/>
    <n v="2784"/>
  </r>
  <r>
    <d v="2024-06-16T00:00:00"/>
    <x v="4"/>
    <x v="3"/>
    <x v="691"/>
    <x v="2"/>
    <x v="2"/>
    <x v="8"/>
    <x v="691"/>
    <n v="14"/>
    <n v="154"/>
  </r>
  <r>
    <d v="2024-06-16T00:00:00"/>
    <x v="4"/>
    <x v="3"/>
    <x v="691"/>
    <x v="2"/>
    <x v="2"/>
    <x v="7"/>
    <x v="692"/>
    <n v="15"/>
    <n v="2344"/>
  </r>
  <r>
    <d v="2024-06-16T00:00:00"/>
    <x v="4"/>
    <x v="3"/>
    <x v="692"/>
    <x v="2"/>
    <x v="1"/>
    <x v="6"/>
    <x v="135"/>
    <n v="5"/>
    <n v="3463"/>
  </r>
  <r>
    <d v="2024-06-16T00:00:00"/>
    <x v="4"/>
    <x v="3"/>
    <x v="692"/>
    <x v="2"/>
    <x v="0"/>
    <x v="0"/>
    <x v="136"/>
    <n v="20"/>
    <n v="1605"/>
  </r>
  <r>
    <d v="2024-06-16T00:00:00"/>
    <x v="4"/>
    <x v="3"/>
    <x v="693"/>
    <x v="5"/>
    <x v="2"/>
    <x v="3"/>
    <x v="290"/>
    <n v="19"/>
    <n v="64"/>
  </r>
  <r>
    <d v="2024-06-22T00:00:00"/>
    <x v="4"/>
    <x v="3"/>
    <x v="694"/>
    <x v="5"/>
    <x v="2"/>
    <x v="7"/>
    <x v="693"/>
    <n v="5"/>
    <n v="379"/>
  </r>
  <r>
    <d v="2024-06-23T00:00:00"/>
    <x v="4"/>
    <x v="3"/>
    <x v="695"/>
    <x v="5"/>
    <x v="2"/>
    <x v="7"/>
    <x v="694"/>
    <n v="19"/>
    <n v="218"/>
  </r>
  <r>
    <d v="2024-06-23T00:00:00"/>
    <x v="4"/>
    <x v="3"/>
    <x v="695"/>
    <x v="5"/>
    <x v="1"/>
    <x v="1"/>
    <x v="695"/>
    <n v="18"/>
    <n v="495"/>
  </r>
  <r>
    <d v="2024-06-23T00:00:00"/>
    <x v="4"/>
    <x v="3"/>
    <x v="695"/>
    <x v="5"/>
    <x v="0"/>
    <x v="0"/>
    <x v="696"/>
    <n v="20"/>
    <n v="3898"/>
  </r>
  <r>
    <d v="2024-06-25T00:00:00"/>
    <x v="4"/>
    <x v="3"/>
    <x v="696"/>
    <x v="2"/>
    <x v="1"/>
    <x v="9"/>
    <x v="697"/>
    <n v="13"/>
    <n v="279"/>
  </r>
  <r>
    <d v="2024-06-25T00:00:00"/>
    <x v="4"/>
    <x v="3"/>
    <x v="696"/>
    <x v="2"/>
    <x v="1"/>
    <x v="6"/>
    <x v="698"/>
    <n v="6"/>
    <n v="1266"/>
  </r>
  <r>
    <d v="2024-06-26T00:00:00"/>
    <x v="4"/>
    <x v="3"/>
    <x v="697"/>
    <x v="0"/>
    <x v="0"/>
    <x v="0"/>
    <x v="634"/>
    <n v="7"/>
    <n v="212"/>
  </r>
  <r>
    <d v="2024-07-01T00:00:00"/>
    <x v="4"/>
    <x v="4"/>
    <x v="698"/>
    <x v="4"/>
    <x v="1"/>
    <x v="6"/>
    <x v="135"/>
    <n v="5"/>
    <n v="3463"/>
  </r>
  <r>
    <d v="2024-07-01T00:00:00"/>
    <x v="4"/>
    <x v="4"/>
    <x v="698"/>
    <x v="4"/>
    <x v="0"/>
    <x v="0"/>
    <x v="136"/>
    <n v="20"/>
    <n v="1605"/>
  </r>
  <r>
    <d v="2024-07-02T00:00:00"/>
    <x v="4"/>
    <x v="4"/>
    <x v="699"/>
    <x v="2"/>
    <x v="1"/>
    <x v="6"/>
    <x v="42"/>
    <n v="2"/>
    <n v="670"/>
  </r>
  <r>
    <d v="2024-07-02T00:00:00"/>
    <x v="4"/>
    <x v="4"/>
    <x v="699"/>
    <x v="2"/>
    <x v="2"/>
    <x v="3"/>
    <x v="699"/>
    <n v="5"/>
    <n v="147"/>
  </r>
  <r>
    <d v="2024-07-02T00:00:00"/>
    <x v="4"/>
    <x v="4"/>
    <x v="699"/>
    <x v="2"/>
    <x v="2"/>
    <x v="4"/>
    <x v="700"/>
    <n v="2"/>
    <n v="2341"/>
  </r>
  <r>
    <d v="2024-07-02T00:00:00"/>
    <x v="4"/>
    <x v="4"/>
    <x v="699"/>
    <x v="2"/>
    <x v="0"/>
    <x v="0"/>
    <x v="701"/>
    <n v="2"/>
    <n v="236"/>
  </r>
  <r>
    <d v="2024-07-02T00:00:00"/>
    <x v="4"/>
    <x v="4"/>
    <x v="700"/>
    <x v="0"/>
    <x v="1"/>
    <x v="6"/>
    <x v="702"/>
    <n v="3"/>
    <n v="1691"/>
  </r>
  <r>
    <d v="2024-07-02T00:00:00"/>
    <x v="4"/>
    <x v="4"/>
    <x v="700"/>
    <x v="0"/>
    <x v="1"/>
    <x v="6"/>
    <x v="703"/>
    <n v="11"/>
    <n v="324"/>
  </r>
  <r>
    <d v="2024-07-04T00:00:00"/>
    <x v="4"/>
    <x v="4"/>
    <x v="701"/>
    <x v="4"/>
    <x v="2"/>
    <x v="7"/>
    <x v="704"/>
    <n v="18"/>
    <n v="957"/>
  </r>
  <r>
    <d v="2024-07-05T00:00:00"/>
    <x v="4"/>
    <x v="4"/>
    <x v="702"/>
    <x v="2"/>
    <x v="2"/>
    <x v="8"/>
    <x v="705"/>
    <n v="14"/>
    <n v="391"/>
  </r>
  <r>
    <d v="2024-07-05T00:00:00"/>
    <x v="4"/>
    <x v="4"/>
    <x v="702"/>
    <x v="2"/>
    <x v="1"/>
    <x v="10"/>
    <x v="706"/>
    <n v="13"/>
    <n v="322"/>
  </r>
  <r>
    <d v="2024-07-07T00:00:00"/>
    <x v="4"/>
    <x v="4"/>
    <x v="703"/>
    <x v="4"/>
    <x v="0"/>
    <x v="0"/>
    <x v="588"/>
    <n v="4"/>
    <n v="3430"/>
  </r>
  <r>
    <d v="2024-07-08T00:00:00"/>
    <x v="4"/>
    <x v="4"/>
    <x v="704"/>
    <x v="1"/>
    <x v="1"/>
    <x v="6"/>
    <x v="707"/>
    <n v="6"/>
    <n v="2471"/>
  </r>
  <r>
    <d v="2024-07-09T00:00:00"/>
    <x v="4"/>
    <x v="4"/>
    <x v="705"/>
    <x v="5"/>
    <x v="1"/>
    <x v="9"/>
    <x v="708"/>
    <n v="20"/>
    <n v="641"/>
  </r>
  <r>
    <d v="2024-07-09T00:00:00"/>
    <x v="4"/>
    <x v="4"/>
    <x v="705"/>
    <x v="5"/>
    <x v="2"/>
    <x v="8"/>
    <x v="709"/>
    <n v="10"/>
    <n v="817"/>
  </r>
  <r>
    <d v="2024-07-09T00:00:00"/>
    <x v="4"/>
    <x v="4"/>
    <x v="705"/>
    <x v="5"/>
    <x v="1"/>
    <x v="6"/>
    <x v="45"/>
    <n v="12"/>
    <n v="520"/>
  </r>
  <r>
    <d v="2024-07-09T00:00:00"/>
    <x v="4"/>
    <x v="4"/>
    <x v="705"/>
    <x v="5"/>
    <x v="1"/>
    <x v="6"/>
    <x v="710"/>
    <n v="15"/>
    <n v="1411"/>
  </r>
  <r>
    <d v="2024-07-11T00:00:00"/>
    <x v="4"/>
    <x v="4"/>
    <x v="706"/>
    <x v="5"/>
    <x v="2"/>
    <x v="8"/>
    <x v="711"/>
    <n v="18"/>
    <n v="2321"/>
  </r>
  <r>
    <d v="2024-07-13T00:00:00"/>
    <x v="4"/>
    <x v="4"/>
    <x v="707"/>
    <x v="1"/>
    <x v="2"/>
    <x v="7"/>
    <x v="712"/>
    <n v="20"/>
    <n v="301"/>
  </r>
  <r>
    <d v="2024-07-18T00:00:00"/>
    <x v="4"/>
    <x v="4"/>
    <x v="708"/>
    <x v="0"/>
    <x v="0"/>
    <x v="0"/>
    <x v="713"/>
    <n v="18"/>
    <n v="2842"/>
  </r>
  <r>
    <d v="2024-07-18T00:00:00"/>
    <x v="4"/>
    <x v="4"/>
    <x v="709"/>
    <x v="5"/>
    <x v="1"/>
    <x v="1"/>
    <x v="494"/>
    <n v="17"/>
    <n v="1574"/>
  </r>
  <r>
    <d v="2024-07-27T00:00:00"/>
    <x v="4"/>
    <x v="4"/>
    <x v="710"/>
    <x v="1"/>
    <x v="1"/>
    <x v="9"/>
    <x v="445"/>
    <n v="7"/>
    <n v="1665"/>
  </r>
  <r>
    <d v="2024-07-28T00:00:00"/>
    <x v="4"/>
    <x v="4"/>
    <x v="711"/>
    <x v="2"/>
    <x v="0"/>
    <x v="5"/>
    <x v="574"/>
    <n v="18"/>
    <n v="1094"/>
  </r>
  <r>
    <d v="2024-07-28T00:00:00"/>
    <x v="4"/>
    <x v="4"/>
    <x v="711"/>
    <x v="2"/>
    <x v="1"/>
    <x v="9"/>
    <x v="714"/>
    <n v="1"/>
    <n v="1153"/>
  </r>
  <r>
    <d v="2024-07-30T00:00:00"/>
    <x v="4"/>
    <x v="4"/>
    <x v="712"/>
    <x v="4"/>
    <x v="1"/>
    <x v="6"/>
    <x v="270"/>
    <n v="8"/>
    <n v="342"/>
  </r>
  <r>
    <d v="2024-07-31T00:00:00"/>
    <x v="4"/>
    <x v="4"/>
    <x v="713"/>
    <x v="1"/>
    <x v="2"/>
    <x v="8"/>
    <x v="715"/>
    <n v="15"/>
    <n v="3594"/>
  </r>
  <r>
    <d v="2024-08-01T00:00:00"/>
    <x v="4"/>
    <x v="5"/>
    <x v="714"/>
    <x v="0"/>
    <x v="1"/>
    <x v="9"/>
    <x v="160"/>
    <n v="16"/>
    <n v="1354"/>
  </r>
  <r>
    <d v="2024-08-06T00:00:00"/>
    <x v="4"/>
    <x v="5"/>
    <x v="715"/>
    <x v="5"/>
    <x v="1"/>
    <x v="9"/>
    <x v="716"/>
    <n v="12"/>
    <n v="2937"/>
  </r>
  <r>
    <d v="2024-08-06T00:00:00"/>
    <x v="4"/>
    <x v="5"/>
    <x v="715"/>
    <x v="5"/>
    <x v="1"/>
    <x v="1"/>
    <x v="717"/>
    <n v="3"/>
    <n v="1696"/>
  </r>
  <r>
    <d v="2024-08-06T00:00:00"/>
    <x v="4"/>
    <x v="5"/>
    <x v="715"/>
    <x v="5"/>
    <x v="0"/>
    <x v="0"/>
    <x v="718"/>
    <n v="12"/>
    <n v="2413"/>
  </r>
  <r>
    <d v="2024-08-07T00:00:00"/>
    <x v="4"/>
    <x v="5"/>
    <x v="716"/>
    <x v="4"/>
    <x v="0"/>
    <x v="11"/>
    <x v="455"/>
    <n v="6"/>
    <n v="936"/>
  </r>
  <r>
    <d v="2024-08-09T00:00:00"/>
    <x v="4"/>
    <x v="5"/>
    <x v="717"/>
    <x v="0"/>
    <x v="2"/>
    <x v="4"/>
    <x v="560"/>
    <n v="13"/>
    <n v="1981"/>
  </r>
  <r>
    <d v="2024-08-21T00:00:00"/>
    <x v="4"/>
    <x v="5"/>
    <x v="718"/>
    <x v="2"/>
    <x v="0"/>
    <x v="11"/>
    <x v="719"/>
    <n v="6"/>
    <n v="482"/>
  </r>
  <r>
    <d v="2024-08-21T00:00:00"/>
    <x v="4"/>
    <x v="5"/>
    <x v="719"/>
    <x v="4"/>
    <x v="0"/>
    <x v="2"/>
    <x v="720"/>
    <n v="9"/>
    <n v="1726"/>
  </r>
  <r>
    <d v="2024-08-21T00:00:00"/>
    <x v="4"/>
    <x v="5"/>
    <x v="719"/>
    <x v="4"/>
    <x v="0"/>
    <x v="2"/>
    <x v="721"/>
    <n v="20"/>
    <n v="1738"/>
  </r>
  <r>
    <d v="2024-08-23T00:00:00"/>
    <x v="4"/>
    <x v="5"/>
    <x v="720"/>
    <x v="0"/>
    <x v="2"/>
    <x v="3"/>
    <x v="722"/>
    <n v="15"/>
    <n v="1537"/>
  </r>
  <r>
    <d v="2024-08-23T00:00:00"/>
    <x v="4"/>
    <x v="5"/>
    <x v="720"/>
    <x v="0"/>
    <x v="0"/>
    <x v="0"/>
    <x v="723"/>
    <n v="6"/>
    <n v="1438"/>
  </r>
  <r>
    <d v="2024-08-23T00:00:00"/>
    <x v="4"/>
    <x v="5"/>
    <x v="720"/>
    <x v="0"/>
    <x v="1"/>
    <x v="10"/>
    <x v="724"/>
    <n v="10"/>
    <n v="1457"/>
  </r>
  <r>
    <d v="2024-08-29T00:00:00"/>
    <x v="4"/>
    <x v="5"/>
    <x v="721"/>
    <x v="3"/>
    <x v="1"/>
    <x v="1"/>
    <x v="341"/>
    <n v="15"/>
    <n v="898"/>
  </r>
  <r>
    <d v="2024-08-31T00:00:00"/>
    <x v="4"/>
    <x v="5"/>
    <x v="722"/>
    <x v="3"/>
    <x v="1"/>
    <x v="10"/>
    <x v="518"/>
    <n v="5"/>
    <n v="249"/>
  </r>
  <r>
    <d v="2024-09-01T00:00:00"/>
    <x v="4"/>
    <x v="6"/>
    <x v="723"/>
    <x v="1"/>
    <x v="0"/>
    <x v="5"/>
    <x v="370"/>
    <n v="17"/>
    <n v="397"/>
  </r>
  <r>
    <d v="2024-09-01T00:00:00"/>
    <x v="4"/>
    <x v="6"/>
    <x v="723"/>
    <x v="1"/>
    <x v="1"/>
    <x v="6"/>
    <x v="371"/>
    <n v="11"/>
    <n v="88"/>
  </r>
  <r>
    <d v="2024-09-04T00:00:00"/>
    <x v="4"/>
    <x v="6"/>
    <x v="724"/>
    <x v="5"/>
    <x v="0"/>
    <x v="5"/>
    <x v="224"/>
    <n v="20"/>
    <n v="3158"/>
  </r>
  <r>
    <d v="2024-09-04T00:00:00"/>
    <x v="4"/>
    <x v="6"/>
    <x v="724"/>
    <x v="5"/>
    <x v="2"/>
    <x v="4"/>
    <x v="225"/>
    <n v="14"/>
    <n v="1227"/>
  </r>
  <r>
    <d v="2024-09-06T00:00:00"/>
    <x v="4"/>
    <x v="6"/>
    <x v="725"/>
    <x v="0"/>
    <x v="1"/>
    <x v="9"/>
    <x v="725"/>
    <n v="2"/>
    <n v="1563"/>
  </r>
  <r>
    <d v="2024-09-08T00:00:00"/>
    <x v="4"/>
    <x v="6"/>
    <x v="726"/>
    <x v="1"/>
    <x v="0"/>
    <x v="11"/>
    <x v="48"/>
    <n v="9"/>
    <n v="602"/>
  </r>
  <r>
    <d v="2024-09-08T00:00:00"/>
    <x v="4"/>
    <x v="6"/>
    <x v="726"/>
    <x v="1"/>
    <x v="2"/>
    <x v="4"/>
    <x v="49"/>
    <n v="19"/>
    <n v="1849"/>
  </r>
  <r>
    <d v="2024-09-13T00:00:00"/>
    <x v="4"/>
    <x v="6"/>
    <x v="727"/>
    <x v="1"/>
    <x v="2"/>
    <x v="7"/>
    <x v="726"/>
    <n v="14"/>
    <n v="220"/>
  </r>
  <r>
    <d v="2024-09-13T00:00:00"/>
    <x v="4"/>
    <x v="6"/>
    <x v="727"/>
    <x v="1"/>
    <x v="1"/>
    <x v="9"/>
    <x v="727"/>
    <n v="5"/>
    <n v="914"/>
  </r>
  <r>
    <d v="2024-09-13T00:00:00"/>
    <x v="4"/>
    <x v="6"/>
    <x v="728"/>
    <x v="3"/>
    <x v="0"/>
    <x v="11"/>
    <x v="561"/>
    <n v="12"/>
    <n v="893"/>
  </r>
  <r>
    <d v="2024-09-17T00:00:00"/>
    <x v="4"/>
    <x v="6"/>
    <x v="729"/>
    <x v="5"/>
    <x v="0"/>
    <x v="2"/>
    <x v="498"/>
    <n v="19"/>
    <n v="526"/>
  </r>
  <r>
    <d v="2024-09-17T00:00:00"/>
    <x v="4"/>
    <x v="6"/>
    <x v="729"/>
    <x v="5"/>
    <x v="0"/>
    <x v="2"/>
    <x v="499"/>
    <n v="8"/>
    <n v="825"/>
  </r>
  <r>
    <d v="2024-09-19T00:00:00"/>
    <x v="4"/>
    <x v="6"/>
    <x v="730"/>
    <x v="4"/>
    <x v="2"/>
    <x v="3"/>
    <x v="9"/>
    <n v="3"/>
    <n v="4339"/>
  </r>
  <r>
    <d v="2024-09-21T00:00:00"/>
    <x v="4"/>
    <x v="6"/>
    <x v="731"/>
    <x v="2"/>
    <x v="2"/>
    <x v="8"/>
    <x v="711"/>
    <n v="18"/>
    <n v="2321"/>
  </r>
  <r>
    <d v="2024-09-24T00:00:00"/>
    <x v="4"/>
    <x v="6"/>
    <x v="732"/>
    <x v="3"/>
    <x v="0"/>
    <x v="2"/>
    <x v="728"/>
    <n v="11"/>
    <n v="1239"/>
  </r>
  <r>
    <d v="2024-09-24T00:00:00"/>
    <x v="4"/>
    <x v="6"/>
    <x v="732"/>
    <x v="3"/>
    <x v="1"/>
    <x v="1"/>
    <x v="729"/>
    <n v="19"/>
    <n v="3104"/>
  </r>
  <r>
    <d v="2024-10-01T00:00:00"/>
    <x v="4"/>
    <x v="7"/>
    <x v="733"/>
    <x v="2"/>
    <x v="1"/>
    <x v="6"/>
    <x v="135"/>
    <n v="5"/>
    <n v="3463"/>
  </r>
  <r>
    <d v="2024-10-01T00:00:00"/>
    <x v="4"/>
    <x v="7"/>
    <x v="733"/>
    <x v="2"/>
    <x v="0"/>
    <x v="0"/>
    <x v="136"/>
    <n v="20"/>
    <n v="1605"/>
  </r>
  <r>
    <d v="2024-10-05T00:00:00"/>
    <x v="4"/>
    <x v="7"/>
    <x v="734"/>
    <x v="1"/>
    <x v="2"/>
    <x v="3"/>
    <x v="730"/>
    <n v="5"/>
    <n v="345"/>
  </r>
  <r>
    <d v="2024-10-05T00:00:00"/>
    <x v="4"/>
    <x v="7"/>
    <x v="734"/>
    <x v="1"/>
    <x v="0"/>
    <x v="11"/>
    <x v="731"/>
    <n v="8"/>
    <n v="1638"/>
  </r>
  <r>
    <d v="2024-10-05T00:00:00"/>
    <x v="4"/>
    <x v="7"/>
    <x v="735"/>
    <x v="3"/>
    <x v="1"/>
    <x v="1"/>
    <x v="619"/>
    <n v="11"/>
    <n v="605"/>
  </r>
  <r>
    <d v="2024-10-07T00:00:00"/>
    <x v="4"/>
    <x v="7"/>
    <x v="736"/>
    <x v="5"/>
    <x v="1"/>
    <x v="6"/>
    <x v="85"/>
    <n v="20"/>
    <n v="921"/>
  </r>
  <r>
    <d v="2024-10-08T00:00:00"/>
    <x v="4"/>
    <x v="7"/>
    <x v="737"/>
    <x v="3"/>
    <x v="0"/>
    <x v="2"/>
    <x v="732"/>
    <n v="5"/>
    <n v="267"/>
  </r>
  <r>
    <d v="2024-10-08T00:00:00"/>
    <x v="4"/>
    <x v="7"/>
    <x v="737"/>
    <x v="3"/>
    <x v="1"/>
    <x v="6"/>
    <x v="733"/>
    <n v="15"/>
    <n v="1254"/>
  </r>
  <r>
    <d v="2024-10-12T00:00:00"/>
    <x v="4"/>
    <x v="7"/>
    <x v="738"/>
    <x v="5"/>
    <x v="1"/>
    <x v="6"/>
    <x v="248"/>
    <n v="4"/>
    <n v="125"/>
  </r>
  <r>
    <d v="2024-10-15T00:00:00"/>
    <x v="4"/>
    <x v="7"/>
    <x v="739"/>
    <x v="2"/>
    <x v="1"/>
    <x v="6"/>
    <x v="734"/>
    <n v="9"/>
    <n v="1778"/>
  </r>
  <r>
    <d v="2024-10-17T00:00:00"/>
    <x v="4"/>
    <x v="7"/>
    <x v="740"/>
    <x v="4"/>
    <x v="1"/>
    <x v="9"/>
    <x v="735"/>
    <n v="2"/>
    <n v="1087"/>
  </r>
  <r>
    <d v="2024-10-17T00:00:00"/>
    <x v="4"/>
    <x v="7"/>
    <x v="740"/>
    <x v="4"/>
    <x v="0"/>
    <x v="5"/>
    <x v="736"/>
    <n v="7"/>
    <n v="1765"/>
  </r>
  <r>
    <d v="2024-10-21T00:00:00"/>
    <x v="4"/>
    <x v="7"/>
    <x v="741"/>
    <x v="0"/>
    <x v="0"/>
    <x v="11"/>
    <x v="737"/>
    <n v="20"/>
    <n v="555"/>
  </r>
  <r>
    <d v="2024-10-21T00:00:00"/>
    <x v="4"/>
    <x v="7"/>
    <x v="741"/>
    <x v="0"/>
    <x v="1"/>
    <x v="10"/>
    <x v="738"/>
    <n v="14"/>
    <n v="1018"/>
  </r>
  <r>
    <d v="2024-10-21T00:00:00"/>
    <x v="4"/>
    <x v="7"/>
    <x v="742"/>
    <x v="2"/>
    <x v="1"/>
    <x v="9"/>
    <x v="160"/>
    <n v="16"/>
    <n v="1354"/>
  </r>
  <r>
    <d v="2024-10-26T00:00:00"/>
    <x v="4"/>
    <x v="7"/>
    <x v="743"/>
    <x v="0"/>
    <x v="1"/>
    <x v="9"/>
    <x v="157"/>
    <n v="13"/>
    <n v="163"/>
  </r>
  <r>
    <d v="2024-10-31T00:00:00"/>
    <x v="4"/>
    <x v="7"/>
    <x v="744"/>
    <x v="5"/>
    <x v="2"/>
    <x v="4"/>
    <x v="739"/>
    <n v="6"/>
    <n v="3394"/>
  </r>
  <r>
    <d v="2024-11-10T00:00:00"/>
    <x v="4"/>
    <x v="8"/>
    <x v="745"/>
    <x v="4"/>
    <x v="1"/>
    <x v="10"/>
    <x v="740"/>
    <n v="8"/>
    <n v="2624"/>
  </r>
  <r>
    <d v="2024-11-10T00:00:00"/>
    <x v="4"/>
    <x v="8"/>
    <x v="745"/>
    <x v="4"/>
    <x v="0"/>
    <x v="5"/>
    <x v="673"/>
    <n v="20"/>
    <n v="281"/>
  </r>
  <r>
    <d v="2024-11-14T00:00:00"/>
    <x v="4"/>
    <x v="8"/>
    <x v="746"/>
    <x v="0"/>
    <x v="1"/>
    <x v="9"/>
    <x v="19"/>
    <n v="19"/>
    <n v="1771"/>
  </r>
  <r>
    <d v="2024-11-17T00:00:00"/>
    <x v="4"/>
    <x v="8"/>
    <x v="747"/>
    <x v="0"/>
    <x v="1"/>
    <x v="1"/>
    <x v="741"/>
    <n v="16"/>
    <n v="917"/>
  </r>
  <r>
    <d v="2024-11-21T00:00:00"/>
    <x v="4"/>
    <x v="8"/>
    <x v="748"/>
    <x v="5"/>
    <x v="2"/>
    <x v="8"/>
    <x v="675"/>
    <n v="8"/>
    <n v="2322"/>
  </r>
  <r>
    <d v="2024-11-22T00:00:00"/>
    <x v="4"/>
    <x v="8"/>
    <x v="749"/>
    <x v="5"/>
    <x v="2"/>
    <x v="4"/>
    <x v="527"/>
    <n v="18"/>
    <n v="1345"/>
  </r>
  <r>
    <d v="2024-11-22T00:00:00"/>
    <x v="4"/>
    <x v="8"/>
    <x v="749"/>
    <x v="5"/>
    <x v="2"/>
    <x v="8"/>
    <x v="528"/>
    <n v="14"/>
    <n v="766"/>
  </r>
  <r>
    <d v="2024-11-24T00:00:00"/>
    <x v="4"/>
    <x v="8"/>
    <x v="750"/>
    <x v="1"/>
    <x v="2"/>
    <x v="8"/>
    <x v="59"/>
    <n v="16"/>
    <n v="158"/>
  </r>
  <r>
    <d v="2024-11-24T00:00:00"/>
    <x v="4"/>
    <x v="8"/>
    <x v="750"/>
    <x v="1"/>
    <x v="2"/>
    <x v="3"/>
    <x v="60"/>
    <n v="17"/>
    <n v="177"/>
  </r>
  <r>
    <d v="2024-11-25T00:00:00"/>
    <x v="4"/>
    <x v="8"/>
    <x v="751"/>
    <x v="5"/>
    <x v="2"/>
    <x v="7"/>
    <x v="464"/>
    <n v="14"/>
    <n v="2333"/>
  </r>
  <r>
    <d v="2024-11-25T00:00:00"/>
    <x v="4"/>
    <x v="8"/>
    <x v="751"/>
    <x v="5"/>
    <x v="1"/>
    <x v="9"/>
    <x v="465"/>
    <n v="11"/>
    <n v="738"/>
  </r>
  <r>
    <d v="2024-11-25T00:00:00"/>
    <x v="4"/>
    <x v="8"/>
    <x v="752"/>
    <x v="5"/>
    <x v="0"/>
    <x v="5"/>
    <x v="292"/>
    <n v="7"/>
    <n v="2037"/>
  </r>
  <r>
    <d v="2024-11-27T00:00:00"/>
    <x v="4"/>
    <x v="8"/>
    <x v="753"/>
    <x v="2"/>
    <x v="2"/>
    <x v="4"/>
    <x v="742"/>
    <n v="9"/>
    <n v="188"/>
  </r>
  <r>
    <d v="2024-12-05T00:00:00"/>
    <x v="4"/>
    <x v="9"/>
    <x v="754"/>
    <x v="1"/>
    <x v="0"/>
    <x v="2"/>
    <x v="450"/>
    <n v="4"/>
    <n v="265"/>
  </r>
  <r>
    <d v="2024-12-05T00:00:00"/>
    <x v="4"/>
    <x v="9"/>
    <x v="754"/>
    <x v="1"/>
    <x v="2"/>
    <x v="7"/>
    <x v="451"/>
    <n v="10"/>
    <n v="543"/>
  </r>
  <r>
    <d v="2024-12-06T00:00:00"/>
    <x v="4"/>
    <x v="9"/>
    <x v="755"/>
    <x v="3"/>
    <x v="1"/>
    <x v="10"/>
    <x v="743"/>
    <n v="9"/>
    <n v="301"/>
  </r>
  <r>
    <d v="2024-12-06T00:00:00"/>
    <x v="4"/>
    <x v="9"/>
    <x v="755"/>
    <x v="3"/>
    <x v="1"/>
    <x v="10"/>
    <x v="744"/>
    <n v="6"/>
    <n v="771"/>
  </r>
  <r>
    <d v="2024-12-06T00:00:00"/>
    <x v="4"/>
    <x v="9"/>
    <x v="755"/>
    <x v="3"/>
    <x v="2"/>
    <x v="8"/>
    <x v="446"/>
    <n v="2"/>
    <n v="831"/>
  </r>
  <r>
    <d v="2024-12-07T00:00:00"/>
    <x v="4"/>
    <x v="9"/>
    <x v="756"/>
    <x v="4"/>
    <x v="0"/>
    <x v="5"/>
    <x v="745"/>
    <n v="20"/>
    <n v="95"/>
  </r>
  <r>
    <d v="2024-12-09T00:00:00"/>
    <x v="4"/>
    <x v="9"/>
    <x v="757"/>
    <x v="1"/>
    <x v="1"/>
    <x v="10"/>
    <x v="746"/>
    <n v="5"/>
    <n v="813"/>
  </r>
  <r>
    <d v="2024-12-12T00:00:00"/>
    <x v="4"/>
    <x v="9"/>
    <x v="758"/>
    <x v="3"/>
    <x v="1"/>
    <x v="6"/>
    <x v="551"/>
    <n v="2"/>
    <n v="93"/>
  </r>
  <r>
    <d v="2024-12-12T00:00:00"/>
    <x v="4"/>
    <x v="9"/>
    <x v="758"/>
    <x v="3"/>
    <x v="2"/>
    <x v="3"/>
    <x v="552"/>
    <n v="3"/>
    <n v="1034"/>
  </r>
  <r>
    <d v="2024-12-12T00:00:00"/>
    <x v="4"/>
    <x v="9"/>
    <x v="758"/>
    <x v="3"/>
    <x v="0"/>
    <x v="2"/>
    <x v="553"/>
    <n v="3"/>
    <n v="248"/>
  </r>
  <r>
    <d v="2024-12-12T00:00:00"/>
    <x v="4"/>
    <x v="9"/>
    <x v="758"/>
    <x v="3"/>
    <x v="1"/>
    <x v="1"/>
    <x v="554"/>
    <n v="10"/>
    <n v="361"/>
  </r>
  <r>
    <d v="2024-12-14T00:00:00"/>
    <x v="4"/>
    <x v="9"/>
    <x v="759"/>
    <x v="2"/>
    <x v="0"/>
    <x v="2"/>
    <x v="747"/>
    <n v="2"/>
    <n v="355"/>
  </r>
  <r>
    <d v="2024-12-19T00:00:00"/>
    <x v="4"/>
    <x v="9"/>
    <x v="760"/>
    <x v="5"/>
    <x v="1"/>
    <x v="9"/>
    <x v="688"/>
    <n v="12"/>
    <n v="204"/>
  </r>
  <r>
    <d v="2024-12-19T00:00:00"/>
    <x v="4"/>
    <x v="9"/>
    <x v="761"/>
    <x v="1"/>
    <x v="1"/>
    <x v="9"/>
    <x v="748"/>
    <n v="19"/>
    <n v="950"/>
  </r>
  <r>
    <d v="2024-12-26T00:00:00"/>
    <x v="4"/>
    <x v="9"/>
    <x v="762"/>
    <x v="4"/>
    <x v="1"/>
    <x v="1"/>
    <x v="603"/>
    <n v="12"/>
    <n v="142"/>
  </r>
  <r>
    <d v="2024-12-26T00:00:00"/>
    <x v="4"/>
    <x v="9"/>
    <x v="762"/>
    <x v="4"/>
    <x v="2"/>
    <x v="7"/>
    <x v="604"/>
    <n v="11"/>
    <n v="2628"/>
  </r>
  <r>
    <d v="2024-12-27T00:00:00"/>
    <x v="4"/>
    <x v="9"/>
    <x v="763"/>
    <x v="0"/>
    <x v="0"/>
    <x v="0"/>
    <x v="252"/>
    <n v="5"/>
    <n v="1275"/>
  </r>
  <r>
    <d v="2024-12-27T00:00:00"/>
    <x v="4"/>
    <x v="9"/>
    <x v="763"/>
    <x v="0"/>
    <x v="0"/>
    <x v="5"/>
    <x v="253"/>
    <n v="14"/>
    <n v="1330"/>
  </r>
  <r>
    <d v="2024-12-27T00:00:00"/>
    <x v="4"/>
    <x v="9"/>
    <x v="764"/>
    <x v="5"/>
    <x v="2"/>
    <x v="8"/>
    <x v="244"/>
    <n v="6"/>
    <n v="573"/>
  </r>
  <r>
    <d v="2024-12-27T00:00:00"/>
    <x v="4"/>
    <x v="9"/>
    <x v="764"/>
    <x v="5"/>
    <x v="0"/>
    <x v="5"/>
    <x v="245"/>
    <n v="5"/>
    <n v="1014"/>
  </r>
  <r>
    <d v="2024-12-27T00:00:00"/>
    <x v="4"/>
    <x v="9"/>
    <x v="765"/>
    <x v="1"/>
    <x v="2"/>
    <x v="8"/>
    <x v="749"/>
    <n v="6"/>
    <n v="1149"/>
  </r>
  <r>
    <d v="2024-12-28T00:00:00"/>
    <x v="4"/>
    <x v="9"/>
    <x v="766"/>
    <x v="0"/>
    <x v="1"/>
    <x v="9"/>
    <x v="750"/>
    <n v="3"/>
    <n v="658"/>
  </r>
  <r>
    <d v="2024-12-29T00:00:00"/>
    <x v="4"/>
    <x v="9"/>
    <x v="767"/>
    <x v="2"/>
    <x v="2"/>
    <x v="3"/>
    <x v="293"/>
    <n v="5"/>
    <n v="2530"/>
  </r>
  <r>
    <d v="2024-12-30T00:00:00"/>
    <x v="4"/>
    <x v="9"/>
    <x v="768"/>
    <x v="1"/>
    <x v="1"/>
    <x v="6"/>
    <x v="751"/>
    <n v="6"/>
    <n v="133"/>
  </r>
  <r>
    <d v="2024-12-30T00:00:00"/>
    <x v="4"/>
    <x v="9"/>
    <x v="768"/>
    <x v="1"/>
    <x v="2"/>
    <x v="8"/>
    <x v="752"/>
    <n v="2"/>
    <n v="2685"/>
  </r>
  <r>
    <d v="2025-01-03T00:00:00"/>
    <x v="5"/>
    <x v="10"/>
    <x v="769"/>
    <x v="5"/>
    <x v="2"/>
    <x v="8"/>
    <x v="655"/>
    <n v="18"/>
    <n v="1192"/>
  </r>
  <r>
    <d v="2025-01-06T00:00:00"/>
    <x v="5"/>
    <x v="10"/>
    <x v="770"/>
    <x v="4"/>
    <x v="0"/>
    <x v="5"/>
    <x v="194"/>
    <n v="17"/>
    <n v="3741"/>
  </r>
  <r>
    <d v="2025-01-06T00:00:00"/>
    <x v="5"/>
    <x v="10"/>
    <x v="770"/>
    <x v="4"/>
    <x v="1"/>
    <x v="9"/>
    <x v="195"/>
    <n v="16"/>
    <n v="3457"/>
  </r>
  <r>
    <d v="2025-01-06T00:00:00"/>
    <x v="5"/>
    <x v="10"/>
    <x v="771"/>
    <x v="3"/>
    <x v="2"/>
    <x v="3"/>
    <x v="323"/>
    <n v="14"/>
    <n v="1001"/>
  </r>
  <r>
    <d v="2025-01-11T00:00:00"/>
    <x v="5"/>
    <x v="10"/>
    <x v="772"/>
    <x v="5"/>
    <x v="1"/>
    <x v="1"/>
    <x v="753"/>
    <n v="14"/>
    <n v="1704"/>
  </r>
  <r>
    <d v="2025-01-14T00:00:00"/>
    <x v="5"/>
    <x v="10"/>
    <x v="773"/>
    <x v="5"/>
    <x v="1"/>
    <x v="1"/>
    <x v="754"/>
    <n v="9"/>
    <n v="2090"/>
  </r>
  <r>
    <d v="2025-01-15T00:00:00"/>
    <x v="5"/>
    <x v="10"/>
    <x v="774"/>
    <x v="1"/>
    <x v="2"/>
    <x v="8"/>
    <x v="755"/>
    <n v="7"/>
    <n v="1928"/>
  </r>
  <r>
    <d v="2025-01-15T00:00:00"/>
    <x v="5"/>
    <x v="10"/>
    <x v="775"/>
    <x v="3"/>
    <x v="1"/>
    <x v="9"/>
    <x v="199"/>
    <n v="2"/>
    <n v="4197"/>
  </r>
  <r>
    <d v="2025-01-25T00:00:00"/>
    <x v="5"/>
    <x v="10"/>
    <x v="776"/>
    <x v="3"/>
    <x v="0"/>
    <x v="2"/>
    <x v="756"/>
    <n v="6"/>
    <n v="606"/>
  </r>
  <r>
    <d v="2025-01-27T00:00:00"/>
    <x v="5"/>
    <x v="10"/>
    <x v="777"/>
    <x v="2"/>
    <x v="0"/>
    <x v="0"/>
    <x v="757"/>
    <n v="17"/>
    <n v="2733"/>
  </r>
  <r>
    <d v="2025-01-27T00:00:00"/>
    <x v="5"/>
    <x v="10"/>
    <x v="778"/>
    <x v="5"/>
    <x v="1"/>
    <x v="9"/>
    <x v="281"/>
    <n v="6"/>
    <n v="1039"/>
  </r>
  <r>
    <d v="2025-01-29T00:00:00"/>
    <x v="5"/>
    <x v="10"/>
    <x v="779"/>
    <x v="0"/>
    <x v="0"/>
    <x v="0"/>
    <x v="758"/>
    <n v="10"/>
    <n v="3483"/>
  </r>
  <r>
    <d v="2025-01-29T00:00:00"/>
    <x v="5"/>
    <x v="10"/>
    <x v="779"/>
    <x v="0"/>
    <x v="1"/>
    <x v="6"/>
    <x v="759"/>
    <n v="7"/>
    <n v="2584"/>
  </r>
  <r>
    <d v="2025-01-30T00:00:00"/>
    <x v="5"/>
    <x v="10"/>
    <x v="780"/>
    <x v="1"/>
    <x v="0"/>
    <x v="5"/>
    <x v="606"/>
    <n v="6"/>
    <n v="3297"/>
  </r>
  <r>
    <d v="2025-01-30T00:00:00"/>
    <x v="5"/>
    <x v="10"/>
    <x v="780"/>
    <x v="1"/>
    <x v="0"/>
    <x v="5"/>
    <x v="607"/>
    <n v="20"/>
    <n v="4068"/>
  </r>
  <r>
    <d v="2025-01-30T00:00:00"/>
    <x v="5"/>
    <x v="10"/>
    <x v="780"/>
    <x v="1"/>
    <x v="0"/>
    <x v="11"/>
    <x v="608"/>
    <n v="8"/>
    <n v="1475"/>
  </r>
  <r>
    <d v="2025-02-01T00:00:00"/>
    <x v="5"/>
    <x v="11"/>
    <x v="781"/>
    <x v="0"/>
    <x v="2"/>
    <x v="3"/>
    <x v="760"/>
    <n v="18"/>
    <n v="1556"/>
  </r>
  <r>
    <d v="2025-02-02T00:00:00"/>
    <x v="5"/>
    <x v="11"/>
    <x v="782"/>
    <x v="0"/>
    <x v="1"/>
    <x v="1"/>
    <x v="761"/>
    <n v="9"/>
    <n v="571"/>
  </r>
  <r>
    <d v="2025-02-02T00:00:00"/>
    <x v="5"/>
    <x v="11"/>
    <x v="783"/>
    <x v="5"/>
    <x v="0"/>
    <x v="11"/>
    <x v="762"/>
    <n v="13"/>
    <n v="413"/>
  </r>
  <r>
    <d v="2025-02-04T00:00:00"/>
    <x v="5"/>
    <x v="11"/>
    <x v="784"/>
    <x v="3"/>
    <x v="2"/>
    <x v="3"/>
    <x v="213"/>
    <n v="20"/>
    <n v="2358"/>
  </r>
  <r>
    <d v="2025-02-09T00:00:00"/>
    <x v="5"/>
    <x v="11"/>
    <x v="785"/>
    <x v="2"/>
    <x v="1"/>
    <x v="9"/>
    <x v="259"/>
    <n v="4"/>
    <n v="802"/>
  </r>
  <r>
    <d v="2025-02-11T00:00:00"/>
    <x v="5"/>
    <x v="11"/>
    <x v="786"/>
    <x v="4"/>
    <x v="1"/>
    <x v="6"/>
    <x v="644"/>
    <n v="1"/>
    <n v="265"/>
  </r>
  <r>
    <d v="2025-02-14T00:00:00"/>
    <x v="5"/>
    <x v="11"/>
    <x v="787"/>
    <x v="5"/>
    <x v="0"/>
    <x v="2"/>
    <x v="756"/>
    <n v="6"/>
    <n v="606"/>
  </r>
  <r>
    <d v="2025-02-16T00:00:00"/>
    <x v="5"/>
    <x v="11"/>
    <x v="788"/>
    <x v="4"/>
    <x v="0"/>
    <x v="11"/>
    <x v="48"/>
    <n v="9"/>
    <n v="602"/>
  </r>
  <r>
    <d v="2025-02-16T00:00:00"/>
    <x v="5"/>
    <x v="11"/>
    <x v="788"/>
    <x v="4"/>
    <x v="2"/>
    <x v="4"/>
    <x v="49"/>
    <n v="19"/>
    <n v="1849"/>
  </r>
  <r>
    <d v="2025-02-18T00:00:00"/>
    <x v="5"/>
    <x v="11"/>
    <x v="789"/>
    <x v="1"/>
    <x v="1"/>
    <x v="6"/>
    <x v="401"/>
    <n v="6"/>
    <n v="2607"/>
  </r>
  <r>
    <d v="2025-02-19T00:00:00"/>
    <x v="5"/>
    <x v="11"/>
    <x v="790"/>
    <x v="2"/>
    <x v="0"/>
    <x v="0"/>
    <x v="662"/>
    <n v="12"/>
    <n v="3429"/>
  </r>
  <r>
    <d v="2025-02-20T00:00:00"/>
    <x v="5"/>
    <x v="11"/>
    <x v="791"/>
    <x v="2"/>
    <x v="1"/>
    <x v="6"/>
    <x v="101"/>
    <n v="4"/>
    <n v="970"/>
  </r>
  <r>
    <d v="2025-02-20T00:00:00"/>
    <x v="5"/>
    <x v="11"/>
    <x v="791"/>
    <x v="2"/>
    <x v="0"/>
    <x v="11"/>
    <x v="102"/>
    <n v="1"/>
    <n v="1026"/>
  </r>
  <r>
    <d v="2025-02-24T00:00:00"/>
    <x v="5"/>
    <x v="11"/>
    <x v="792"/>
    <x v="1"/>
    <x v="0"/>
    <x v="11"/>
    <x v="763"/>
    <n v="2"/>
    <n v="2976"/>
  </r>
  <r>
    <d v="2025-02-24T00:00:00"/>
    <x v="5"/>
    <x v="11"/>
    <x v="792"/>
    <x v="1"/>
    <x v="2"/>
    <x v="7"/>
    <x v="764"/>
    <n v="3"/>
    <n v="1663"/>
  </r>
  <r>
    <d v="2025-02-24T00:00:00"/>
    <x v="5"/>
    <x v="11"/>
    <x v="793"/>
    <x v="3"/>
    <x v="1"/>
    <x v="10"/>
    <x v="765"/>
    <n v="4"/>
    <n v="3895"/>
  </r>
  <r>
    <d v="2025-02-26T00:00:00"/>
    <x v="5"/>
    <x v="11"/>
    <x v="794"/>
    <x v="3"/>
    <x v="2"/>
    <x v="7"/>
    <x v="766"/>
    <n v="12"/>
    <n v="1666"/>
  </r>
  <r>
    <d v="2025-02-27T00:00:00"/>
    <x v="5"/>
    <x v="11"/>
    <x v="795"/>
    <x v="3"/>
    <x v="0"/>
    <x v="0"/>
    <x v="234"/>
    <n v="14"/>
    <n v="897"/>
  </r>
  <r>
    <d v="2025-03-01T00:00:00"/>
    <x v="5"/>
    <x v="0"/>
    <x v="796"/>
    <x v="5"/>
    <x v="2"/>
    <x v="4"/>
    <x v="617"/>
    <n v="1"/>
    <n v="1005"/>
  </r>
  <r>
    <d v="2025-03-01T00:00:00"/>
    <x v="5"/>
    <x v="0"/>
    <x v="796"/>
    <x v="5"/>
    <x v="1"/>
    <x v="1"/>
    <x v="618"/>
    <n v="8"/>
    <n v="558"/>
  </r>
  <r>
    <d v="2025-03-07T00:00:00"/>
    <x v="5"/>
    <x v="0"/>
    <x v="797"/>
    <x v="0"/>
    <x v="0"/>
    <x v="11"/>
    <x v="767"/>
    <n v="18"/>
    <n v="167"/>
  </r>
  <r>
    <d v="2025-03-07T00:00:00"/>
    <x v="5"/>
    <x v="0"/>
    <x v="797"/>
    <x v="0"/>
    <x v="1"/>
    <x v="10"/>
    <x v="768"/>
    <n v="9"/>
    <n v="3750"/>
  </r>
  <r>
    <d v="2025-03-07T00:00:00"/>
    <x v="5"/>
    <x v="0"/>
    <x v="797"/>
    <x v="0"/>
    <x v="2"/>
    <x v="7"/>
    <x v="769"/>
    <n v="6"/>
    <n v="72"/>
  </r>
  <r>
    <d v="2025-03-08T00:00:00"/>
    <x v="5"/>
    <x v="0"/>
    <x v="798"/>
    <x v="3"/>
    <x v="0"/>
    <x v="2"/>
    <x v="770"/>
    <n v="4"/>
    <n v="482"/>
  </r>
  <r>
    <d v="2025-03-10T00:00:00"/>
    <x v="5"/>
    <x v="0"/>
    <x v="799"/>
    <x v="1"/>
    <x v="0"/>
    <x v="2"/>
    <x v="728"/>
    <n v="11"/>
    <n v="1239"/>
  </r>
  <r>
    <d v="2025-03-10T00:00:00"/>
    <x v="5"/>
    <x v="0"/>
    <x v="799"/>
    <x v="1"/>
    <x v="1"/>
    <x v="1"/>
    <x v="729"/>
    <n v="19"/>
    <n v="3104"/>
  </r>
  <r>
    <d v="2025-03-14T00:00:00"/>
    <x v="5"/>
    <x v="0"/>
    <x v="800"/>
    <x v="2"/>
    <x v="1"/>
    <x v="6"/>
    <x v="771"/>
    <n v="9"/>
    <n v="3062"/>
  </r>
  <r>
    <d v="2025-03-15T00:00:00"/>
    <x v="5"/>
    <x v="0"/>
    <x v="801"/>
    <x v="2"/>
    <x v="0"/>
    <x v="0"/>
    <x v="772"/>
    <n v="19"/>
    <n v="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s v="Isabella Roach"/>
  </r>
  <r>
    <x v="0"/>
    <s v="Jessica Anderson"/>
  </r>
  <r>
    <x v="0"/>
    <s v="Jasmine Delgado"/>
  </r>
  <r>
    <x v="0"/>
    <s v="Timothy Jensen"/>
  </r>
  <r>
    <x v="0"/>
    <s v="Richard Blair"/>
  </r>
  <r>
    <x v="0"/>
    <s v="Sara Bailey"/>
  </r>
  <r>
    <x v="0"/>
    <s v="Amber Moon"/>
  </r>
  <r>
    <x v="0"/>
    <s v="Donald Perry"/>
  </r>
  <r>
    <x v="0"/>
    <s v="Shelly Sweeney"/>
  </r>
  <r>
    <x v="0"/>
    <s v="Felicia Morton"/>
  </r>
  <r>
    <x v="0"/>
    <s v="Linda Little"/>
  </r>
  <r>
    <x v="0"/>
    <s v="Lauren Boyer"/>
  </r>
  <r>
    <x v="0"/>
    <s v="Joseph Clark"/>
  </r>
  <r>
    <x v="0"/>
    <s v="Joseph Guerrero"/>
  </r>
  <r>
    <x v="0"/>
    <s v="Erin Vasquez"/>
  </r>
  <r>
    <x v="0"/>
    <s v="Kaitlin Brown"/>
  </r>
  <r>
    <x v="0"/>
    <s v="Donald York"/>
  </r>
  <r>
    <x v="0"/>
    <s v="Richard Lee"/>
  </r>
  <r>
    <x v="0"/>
    <s v="Duane Kelly"/>
  </r>
  <r>
    <x v="0"/>
    <s v="Andrew Fernandez"/>
  </r>
  <r>
    <x v="0"/>
    <s v="Robert Martinez"/>
  </r>
  <r>
    <x v="0"/>
    <s v="Mary Taylor"/>
  </r>
  <r>
    <x v="0"/>
    <s v="Laura Jordan"/>
  </r>
  <r>
    <x v="0"/>
    <s v="Amber Kennedy"/>
  </r>
  <r>
    <x v="0"/>
    <s v="Aaron Kim"/>
  </r>
  <r>
    <x v="0"/>
    <s v="William Rosario"/>
  </r>
  <r>
    <x v="0"/>
    <s v="Robert Michael"/>
  </r>
  <r>
    <x v="0"/>
    <s v="Ryan Bullock"/>
  </r>
  <r>
    <x v="0"/>
    <s v="Becky Leach"/>
  </r>
  <r>
    <x v="0"/>
    <s v="James Williams"/>
  </r>
  <r>
    <x v="0"/>
    <s v="Matthew Huff"/>
  </r>
  <r>
    <x v="0"/>
    <s v="Lauren Jones"/>
  </r>
  <r>
    <x v="0"/>
    <s v="Tammy Day"/>
  </r>
  <r>
    <x v="0"/>
    <s v="Caitlin Hunt"/>
  </r>
  <r>
    <x v="0"/>
    <s v="Paul Zimmerman"/>
  </r>
  <r>
    <x v="0"/>
    <s v="Jordan Hahn"/>
  </r>
  <r>
    <x v="0"/>
    <s v="Jennifer Marshall"/>
  </r>
  <r>
    <x v="0"/>
    <s v="James Bonilla"/>
  </r>
  <r>
    <x v="0"/>
    <s v="Sharon Russell"/>
  </r>
  <r>
    <x v="0"/>
    <s v="Jacob Carpenter"/>
  </r>
  <r>
    <x v="0"/>
    <s v="Daniel Brooks"/>
  </r>
  <r>
    <x v="0"/>
    <s v="Steven Frey"/>
  </r>
  <r>
    <x v="0"/>
    <s v="Sylvia Jenkins"/>
  </r>
  <r>
    <x v="0"/>
    <s v="Kimberly Fuller"/>
  </r>
  <r>
    <x v="0"/>
    <s v="Amy Thompson"/>
  </r>
  <r>
    <x v="0"/>
    <s v="Alan Livingston"/>
  </r>
  <r>
    <x v="0"/>
    <s v="Kristin Alvarez"/>
  </r>
  <r>
    <x v="0"/>
    <s v="Nathan Moss"/>
  </r>
  <r>
    <x v="0"/>
    <s v="Natalie Cox"/>
  </r>
  <r>
    <x v="0"/>
    <s v="Angela Jackson"/>
  </r>
  <r>
    <x v="0"/>
    <s v="Kelly Roberts"/>
  </r>
  <r>
    <x v="0"/>
    <s v="Stephanie Oconnell"/>
  </r>
  <r>
    <x v="0"/>
    <s v="Samantha Williams"/>
  </r>
  <r>
    <x v="0"/>
    <s v="Mr. Gregg Sawyer"/>
  </r>
  <r>
    <x v="0"/>
    <s v="Maria Galvan"/>
  </r>
  <r>
    <x v="0"/>
    <s v="Theresa Cline"/>
  </r>
  <r>
    <x v="0"/>
    <s v="Heather Johnson"/>
  </r>
  <r>
    <x v="0"/>
    <s v="Steven Cox"/>
  </r>
  <r>
    <x v="0"/>
    <s v="Mark Padilla"/>
  </r>
  <r>
    <x v="0"/>
    <s v="Scott Lewis"/>
  </r>
  <r>
    <x v="0"/>
    <s v="Sharon Wilkins"/>
  </r>
  <r>
    <x v="0"/>
    <s v="Laura Cole"/>
  </r>
  <r>
    <x v="0"/>
    <s v="Carol Norman"/>
  </r>
  <r>
    <x v="0"/>
    <s v="Mike Armstrong"/>
  </r>
  <r>
    <x v="0"/>
    <s v="Manuel Stark"/>
  </r>
  <r>
    <x v="0"/>
    <s v="Angela Norman"/>
  </r>
  <r>
    <x v="0"/>
    <s v="Jorge George"/>
  </r>
  <r>
    <x v="0"/>
    <s v="Amanda Kim"/>
  </r>
  <r>
    <x v="0"/>
    <s v="Paul Scott"/>
  </r>
  <r>
    <x v="0"/>
    <s v="Jill Jones"/>
  </r>
  <r>
    <x v="0"/>
    <s v="Jill Perez"/>
  </r>
  <r>
    <x v="0"/>
    <s v="Mary Wright"/>
  </r>
  <r>
    <x v="0"/>
    <s v="Jennifer Cooke"/>
  </r>
  <r>
    <x v="0"/>
    <s v="Stephanie Gardner"/>
  </r>
  <r>
    <x v="0"/>
    <s v="Ricky Smith"/>
  </r>
  <r>
    <x v="0"/>
    <s v="Travis Chandler DDS"/>
  </r>
  <r>
    <x v="0"/>
    <s v="Jillian Williams"/>
  </r>
  <r>
    <x v="0"/>
    <s v="Jasmin Jones"/>
  </r>
  <r>
    <x v="0"/>
    <s v="Cameron Miller"/>
  </r>
  <r>
    <x v="0"/>
    <s v="Colin Patterson"/>
  </r>
  <r>
    <x v="0"/>
    <s v="Jonathan Mcmillan"/>
  </r>
  <r>
    <x v="0"/>
    <s v="Debra Townsend"/>
  </r>
  <r>
    <x v="0"/>
    <s v="Jack Woods"/>
  </r>
  <r>
    <x v="0"/>
    <s v="Ms. Emily Baxter"/>
  </r>
  <r>
    <x v="0"/>
    <s v="Jeffrey Middleton"/>
  </r>
  <r>
    <x v="0"/>
    <s v="Kristen Harper"/>
  </r>
  <r>
    <x v="0"/>
    <s v="Pamela Patterson"/>
  </r>
  <r>
    <x v="0"/>
    <s v="Kathryn Rogers"/>
  </r>
  <r>
    <x v="0"/>
    <s v="Jacob Decker"/>
  </r>
  <r>
    <x v="0"/>
    <s v="Melissa Mcknight"/>
  </r>
  <r>
    <x v="0"/>
    <s v="Robin Myers"/>
  </r>
  <r>
    <x v="0"/>
    <s v="Diana Scott"/>
  </r>
  <r>
    <x v="0"/>
    <s v="Megan Williams"/>
  </r>
  <r>
    <x v="0"/>
    <s v="Sara Peterson"/>
  </r>
  <r>
    <x v="0"/>
    <s v="Robert White"/>
  </r>
  <r>
    <x v="0"/>
    <s v="Larry Moore"/>
  </r>
  <r>
    <x v="0"/>
    <s v="Leah Calderon"/>
  </r>
  <r>
    <x v="0"/>
    <s v="Francisco Hicks"/>
  </r>
  <r>
    <x v="0"/>
    <s v="Heather Jenkins"/>
  </r>
  <r>
    <x v="0"/>
    <s v="Randall Dennis"/>
  </r>
  <r>
    <x v="0"/>
    <s v="Jessica Jones"/>
  </r>
  <r>
    <x v="0"/>
    <s v="Christian Jones"/>
  </r>
  <r>
    <x v="0"/>
    <s v="Tony Chavez"/>
  </r>
  <r>
    <x v="0"/>
    <s v="Elizabeth Miller"/>
  </r>
  <r>
    <x v="0"/>
    <s v="Paul Raymond"/>
  </r>
  <r>
    <x v="0"/>
    <s v="Morgan Sullivan"/>
  </r>
  <r>
    <x v="0"/>
    <s v="Clarence Cooke"/>
  </r>
  <r>
    <x v="0"/>
    <s v="Lisa Jacobs"/>
  </r>
  <r>
    <x v="0"/>
    <s v="Philip Baker"/>
  </r>
  <r>
    <x v="0"/>
    <s v="Robert Sexton"/>
  </r>
  <r>
    <x v="0"/>
    <s v="Matthew Schroeder"/>
  </r>
  <r>
    <x v="0"/>
    <s v="Dawn Webb"/>
  </r>
  <r>
    <x v="0"/>
    <s v="Darrell Ramos"/>
  </r>
  <r>
    <x v="0"/>
    <s v="Ashley Wright"/>
  </r>
  <r>
    <x v="0"/>
    <s v="Mary Smith"/>
  </r>
  <r>
    <x v="0"/>
    <s v="Joshua Rojas"/>
  </r>
  <r>
    <x v="0"/>
    <s v="Jennifer Clark"/>
  </r>
  <r>
    <x v="0"/>
    <s v="Andre Fernandez"/>
  </r>
  <r>
    <x v="0"/>
    <s v="Patrick Hensley MD"/>
  </r>
  <r>
    <x v="0"/>
    <s v="Alicia Vincent"/>
  </r>
  <r>
    <x v="0"/>
    <s v="Morgan Sellers"/>
  </r>
  <r>
    <x v="0"/>
    <s v="Peggy Campos"/>
  </r>
  <r>
    <x v="0"/>
    <s v="Marie James"/>
  </r>
  <r>
    <x v="0"/>
    <s v="Jacob Meyer"/>
  </r>
  <r>
    <x v="0"/>
    <s v="Stephen Baker"/>
  </r>
  <r>
    <x v="0"/>
    <s v="Collin Cameron"/>
  </r>
  <r>
    <x v="0"/>
    <s v="Sara Castro"/>
  </r>
  <r>
    <x v="0"/>
    <s v="Steven Keith"/>
  </r>
  <r>
    <x v="0"/>
    <s v="Michelle Bailey"/>
  </r>
  <r>
    <x v="0"/>
    <s v="Sara Garcia"/>
  </r>
  <r>
    <x v="0"/>
    <s v="Darren Moore"/>
  </r>
  <r>
    <x v="0"/>
    <s v="Justin Rosales"/>
  </r>
  <r>
    <x v="0"/>
    <s v="James Hart"/>
  </r>
  <r>
    <x v="0"/>
    <s v="Mrs. Jennifer Lewis"/>
  </r>
  <r>
    <x v="0"/>
    <s v="Matthew James"/>
  </r>
  <r>
    <x v="0"/>
    <s v="David Johnson"/>
  </r>
  <r>
    <x v="0"/>
    <s v="Susan Baker"/>
  </r>
  <r>
    <x v="0"/>
    <s v="Laura Andrews"/>
  </r>
  <r>
    <x v="0"/>
    <s v="Tanner Vance"/>
  </r>
  <r>
    <x v="0"/>
    <s v="Dawn Howard"/>
  </r>
  <r>
    <x v="0"/>
    <s v="Jessica Blankenship"/>
  </r>
  <r>
    <x v="0"/>
    <s v="Jeremy Vazquez"/>
  </r>
  <r>
    <x v="0"/>
    <s v="Charles Henderson"/>
  </r>
  <r>
    <x v="0"/>
    <s v="Brian Patrick"/>
  </r>
  <r>
    <x v="0"/>
    <s v="Mrs. Stephanie Hooper"/>
  </r>
  <r>
    <x v="0"/>
    <s v="James Hickman"/>
  </r>
  <r>
    <x v="0"/>
    <s v="Maria Thomas"/>
  </r>
  <r>
    <x v="0"/>
    <s v="Eric Clark"/>
  </r>
  <r>
    <x v="0"/>
    <s v="James Gutierrez"/>
  </r>
  <r>
    <x v="0"/>
    <s v="Megan Pitts"/>
  </r>
  <r>
    <x v="0"/>
    <s v="Luke Saunders"/>
  </r>
  <r>
    <x v="0"/>
    <s v="Crystal Ross"/>
  </r>
  <r>
    <x v="0"/>
    <s v="James Perez"/>
  </r>
  <r>
    <x v="0"/>
    <s v="Manuel Walls"/>
  </r>
  <r>
    <x v="0"/>
    <s v="Jacqueline Harris"/>
  </r>
  <r>
    <x v="0"/>
    <s v="Christopher Rogers"/>
  </r>
  <r>
    <x v="0"/>
    <s v="Joseph Bates"/>
  </r>
  <r>
    <x v="0"/>
    <s v="Ann Mooney"/>
  </r>
  <r>
    <x v="0"/>
    <s v="Peter Ward"/>
  </r>
  <r>
    <x v="0"/>
    <s v="Alexis Duffy"/>
  </r>
  <r>
    <x v="0"/>
    <s v="Angela Lyons"/>
  </r>
  <r>
    <x v="0"/>
    <s v="Kimberly Warren"/>
  </r>
  <r>
    <x v="0"/>
    <s v="Jessica Kidd"/>
  </r>
  <r>
    <x v="0"/>
    <s v="Albert Alexander Jr."/>
  </r>
  <r>
    <x v="0"/>
    <s v="Kaitlin Garrison"/>
  </r>
  <r>
    <x v="0"/>
    <s v="Wanda West"/>
  </r>
  <r>
    <x v="0"/>
    <s v="Victoria Bryant MD"/>
  </r>
  <r>
    <x v="0"/>
    <s v="Jodi Wood"/>
  </r>
  <r>
    <x v="0"/>
    <s v="Brandon Le"/>
  </r>
  <r>
    <x v="0"/>
    <s v="Alicia Oneill"/>
  </r>
  <r>
    <x v="0"/>
    <s v="John Stevens"/>
  </r>
  <r>
    <x v="1"/>
    <s v="Angela Roberts"/>
  </r>
  <r>
    <x v="1"/>
    <s v="Megan Morgan"/>
  </r>
  <r>
    <x v="1"/>
    <s v="Nancy Keller"/>
  </r>
  <r>
    <x v="1"/>
    <s v="Christopher Johnson"/>
  </r>
  <r>
    <x v="1"/>
    <s v="Marie Jefferson"/>
  </r>
  <r>
    <x v="1"/>
    <s v="Keith Reese"/>
  </r>
  <r>
    <x v="1"/>
    <s v="Edward Johnson"/>
  </r>
  <r>
    <x v="1"/>
    <s v="Mr. Jack Mercado"/>
  </r>
  <r>
    <x v="1"/>
    <s v="Tyrone White"/>
  </r>
  <r>
    <x v="1"/>
    <s v="Ronald Good"/>
  </r>
  <r>
    <x v="1"/>
    <s v="Kyle Hernandez"/>
  </r>
  <r>
    <x v="1"/>
    <s v="Paul Taylor"/>
  </r>
  <r>
    <x v="1"/>
    <s v="Eric Stevens"/>
  </r>
  <r>
    <x v="1"/>
    <s v="Jesus Hernandez"/>
  </r>
  <r>
    <x v="1"/>
    <s v="Christine Mosley"/>
  </r>
  <r>
    <x v="1"/>
    <s v="Michael Rivera"/>
  </r>
  <r>
    <x v="1"/>
    <s v="Brandi Garcia"/>
  </r>
  <r>
    <x v="1"/>
    <s v="Larry Hill"/>
  </r>
  <r>
    <x v="1"/>
    <s v="Michael Williams"/>
  </r>
  <r>
    <x v="1"/>
    <s v="Carlos Wheeler"/>
  </r>
  <r>
    <x v="1"/>
    <s v="John Munoz"/>
  </r>
  <r>
    <x v="1"/>
    <s v="Kelly Pacheco"/>
  </r>
  <r>
    <x v="1"/>
    <s v="Jamie Santos"/>
  </r>
  <r>
    <x v="1"/>
    <s v="Robert Stone"/>
  </r>
  <r>
    <x v="1"/>
    <s v="Jillian Johnson MD"/>
  </r>
  <r>
    <x v="1"/>
    <s v="Megan Williams"/>
  </r>
  <r>
    <x v="1"/>
    <s v="Brent Thomas"/>
  </r>
  <r>
    <x v="1"/>
    <s v="Laura Poole"/>
  </r>
  <r>
    <x v="1"/>
    <s v="Brianna Hunt"/>
  </r>
  <r>
    <x v="1"/>
    <s v="Christina Scott"/>
  </r>
  <r>
    <x v="1"/>
    <s v="Theresa Medina"/>
  </r>
  <r>
    <x v="1"/>
    <s v="Sheila Clay"/>
  </r>
  <r>
    <x v="1"/>
    <s v="Michael Hanson"/>
  </r>
  <r>
    <x v="1"/>
    <s v="Charlene Brown"/>
  </r>
  <r>
    <x v="1"/>
    <s v="Debra Richards"/>
  </r>
  <r>
    <x v="1"/>
    <s v="Amanda Ramirez"/>
  </r>
  <r>
    <x v="1"/>
    <s v="Denise Mcdaniel"/>
  </r>
  <r>
    <x v="1"/>
    <s v="James Mendoza"/>
  </r>
  <r>
    <x v="1"/>
    <s v="Angelica Lewis"/>
  </r>
  <r>
    <x v="1"/>
    <s v="Tom Lawson"/>
  </r>
  <r>
    <x v="1"/>
    <s v="Susan Wright"/>
  </r>
  <r>
    <x v="1"/>
    <s v="Carrie Alvarez"/>
  </r>
  <r>
    <x v="1"/>
    <s v="Stacey Miller"/>
  </r>
  <r>
    <x v="1"/>
    <s v="Christian Jones"/>
  </r>
  <r>
    <x v="1"/>
    <s v="Amy Olsen"/>
  </r>
  <r>
    <x v="1"/>
    <s v="Steven Proctor"/>
  </r>
  <r>
    <x v="1"/>
    <s v="Jonathan Alvarez"/>
  </r>
  <r>
    <x v="1"/>
    <s v="Shannon Patterson"/>
  </r>
  <r>
    <x v="1"/>
    <s v="David Clark"/>
  </r>
  <r>
    <x v="1"/>
    <s v="Ms. Kim Jordan"/>
  </r>
  <r>
    <x v="1"/>
    <s v="Lauren Howell"/>
  </r>
  <r>
    <x v="1"/>
    <s v="Amber Flowers"/>
  </r>
  <r>
    <x v="1"/>
    <s v="Carolyn Gonzalez"/>
  </r>
  <r>
    <x v="1"/>
    <s v="Jerry Alvarado"/>
  </r>
  <r>
    <x v="1"/>
    <s v="Clayton Smith"/>
  </r>
  <r>
    <x v="1"/>
    <s v="Patrick Williams"/>
  </r>
  <r>
    <x v="1"/>
    <s v="Elizabeth King"/>
  </r>
  <r>
    <x v="1"/>
    <s v="Leslie Bean"/>
  </r>
  <r>
    <x v="1"/>
    <s v="Ricardo Dixon"/>
  </r>
  <r>
    <x v="1"/>
    <s v="Leroy Harris"/>
  </r>
  <r>
    <x v="1"/>
    <s v="Anthony Williams"/>
  </r>
  <r>
    <x v="1"/>
    <s v="Megan Davis"/>
  </r>
  <r>
    <x v="1"/>
    <s v="William Russell"/>
  </r>
  <r>
    <x v="1"/>
    <s v="Jacob Torres"/>
  </r>
  <r>
    <x v="1"/>
    <s v="Johnny Hill"/>
  </r>
  <r>
    <x v="1"/>
    <s v="Anthony Barnett"/>
  </r>
  <r>
    <x v="1"/>
    <s v="Heather Bell"/>
  </r>
  <r>
    <x v="1"/>
    <s v="Rhonda Harris"/>
  </r>
  <r>
    <x v="1"/>
    <s v="Deborah Hoffman"/>
  </r>
  <r>
    <x v="1"/>
    <s v="Marc Strickland"/>
  </r>
  <r>
    <x v="1"/>
    <s v="Kayla Banks"/>
  </r>
  <r>
    <x v="1"/>
    <s v="Richard Maynard"/>
  </r>
  <r>
    <x v="1"/>
    <s v="Sydney Walls"/>
  </r>
  <r>
    <x v="1"/>
    <s v="Nicholas Anderson"/>
  </r>
  <r>
    <x v="1"/>
    <s v="Mr. Daniel Wilson"/>
  </r>
  <r>
    <x v="1"/>
    <s v="Marcus Santiago"/>
  </r>
  <r>
    <x v="1"/>
    <s v="Deborah Williams"/>
  </r>
  <r>
    <x v="1"/>
    <s v="Darren Perez"/>
  </r>
  <r>
    <x v="1"/>
    <s v="Lisa Mcintyre"/>
  </r>
  <r>
    <x v="1"/>
    <s v="Michael Hunt"/>
  </r>
  <r>
    <x v="1"/>
    <s v="Kendra Mckinney"/>
  </r>
  <r>
    <x v="1"/>
    <s v="Lynn Reynolds"/>
  </r>
  <r>
    <x v="1"/>
    <s v="Emma Bruce"/>
  </r>
  <r>
    <x v="1"/>
    <s v="Ms. Barbara Cervantes"/>
  </r>
  <r>
    <x v="1"/>
    <s v="William Welch"/>
  </r>
  <r>
    <x v="1"/>
    <s v="Natalie Maxwell"/>
  </r>
  <r>
    <x v="1"/>
    <s v="Lisa Farmer"/>
  </r>
  <r>
    <x v="1"/>
    <s v="Brian Green"/>
  </r>
  <r>
    <x v="1"/>
    <s v="Dennis Rivera"/>
  </r>
  <r>
    <x v="1"/>
    <s v="Tina Blake"/>
  </r>
  <r>
    <x v="1"/>
    <s v="Alexander Reed"/>
  </r>
  <r>
    <x v="1"/>
    <s v="William Valdez"/>
  </r>
  <r>
    <x v="1"/>
    <s v="Cynthia Meyer"/>
  </r>
  <r>
    <x v="1"/>
    <s v="Richard Gardner"/>
  </r>
  <r>
    <x v="1"/>
    <s v="John James"/>
  </r>
  <r>
    <x v="1"/>
    <s v="Tamara Guzman"/>
  </r>
  <r>
    <x v="1"/>
    <s v="Megan Mack"/>
  </r>
  <r>
    <x v="1"/>
    <s v="Michelle Guerra"/>
  </r>
  <r>
    <x v="1"/>
    <s v="Brandon Anderson"/>
  </r>
  <r>
    <x v="1"/>
    <s v="Ashley Freeman"/>
  </r>
  <r>
    <x v="1"/>
    <s v="Justin Rodriguez"/>
  </r>
  <r>
    <x v="1"/>
    <s v="Michelle Sullivan"/>
  </r>
  <r>
    <x v="1"/>
    <s v="Sandra Perkins"/>
  </r>
  <r>
    <x v="1"/>
    <s v="Ronald Mckinney"/>
  </r>
  <r>
    <x v="1"/>
    <s v="Teresa Perez"/>
  </r>
  <r>
    <x v="1"/>
    <s v="Abigail Brown"/>
  </r>
  <r>
    <x v="1"/>
    <s v="Sherry Tran"/>
  </r>
  <r>
    <x v="1"/>
    <s v="Richard Wolfe"/>
  </r>
  <r>
    <x v="1"/>
    <s v="Heidi Davis"/>
  </r>
  <r>
    <x v="1"/>
    <s v="Jeremy Jackson"/>
  </r>
  <r>
    <x v="1"/>
    <s v="Jon Banks"/>
  </r>
  <r>
    <x v="1"/>
    <s v="Melissa Morales"/>
  </r>
  <r>
    <x v="1"/>
    <s v="Dr. Thomas Peterson"/>
  </r>
  <r>
    <x v="1"/>
    <s v="Pamela Jones"/>
  </r>
  <r>
    <x v="1"/>
    <s v="Clayton Lara"/>
  </r>
  <r>
    <x v="1"/>
    <s v="Jordan Krause"/>
  </r>
  <r>
    <x v="1"/>
    <s v="Raymond Burgess"/>
  </r>
  <r>
    <x v="1"/>
    <s v="Eric Adams"/>
  </r>
  <r>
    <x v="1"/>
    <s v="Aaron Dunn"/>
  </r>
  <r>
    <x v="1"/>
    <s v="Juan Erickson"/>
  </r>
  <r>
    <x v="1"/>
    <s v="Bruce Dennis"/>
  </r>
  <r>
    <x v="1"/>
    <s v="Zachary Perez"/>
  </r>
  <r>
    <x v="1"/>
    <s v="Susan Valdez"/>
  </r>
  <r>
    <x v="1"/>
    <s v="Olivia Orozco"/>
  </r>
  <r>
    <x v="1"/>
    <s v="Kimberly Johnson"/>
  </r>
  <r>
    <x v="1"/>
    <s v="John Williams"/>
  </r>
  <r>
    <x v="1"/>
    <s v="Alexander Adams"/>
  </r>
  <r>
    <x v="1"/>
    <s v="Samuel Little MD"/>
  </r>
  <r>
    <x v="1"/>
    <s v="Alejandro Williams"/>
  </r>
  <r>
    <x v="1"/>
    <s v="James Carter"/>
  </r>
  <r>
    <x v="1"/>
    <s v="Dr. Sarah Booth"/>
  </r>
  <r>
    <x v="1"/>
    <s v="Amy Wilson"/>
  </r>
  <r>
    <x v="1"/>
    <s v="Matthew Harris"/>
  </r>
  <r>
    <x v="1"/>
    <s v="David Smith"/>
  </r>
  <r>
    <x v="1"/>
    <s v="Jeffrey Wilcox"/>
  </r>
  <r>
    <x v="1"/>
    <s v="Andrew Benson"/>
  </r>
  <r>
    <x v="1"/>
    <s v="Kelly Smith"/>
  </r>
  <r>
    <x v="1"/>
    <s v="Nicolas Owen"/>
  </r>
  <r>
    <x v="1"/>
    <s v="Seth Rodriguez"/>
  </r>
  <r>
    <x v="1"/>
    <s v="Jim Johnson"/>
  </r>
  <r>
    <x v="1"/>
    <s v="Harold Mitchell"/>
  </r>
  <r>
    <x v="1"/>
    <s v="David Figueroa"/>
  </r>
  <r>
    <x v="1"/>
    <s v="Jonathan Reed"/>
  </r>
  <r>
    <x v="1"/>
    <s v="Meghan Rush"/>
  </r>
  <r>
    <x v="1"/>
    <s v="Tony Ray"/>
  </r>
  <r>
    <x v="1"/>
    <s v="Melissa Peck"/>
  </r>
  <r>
    <x v="1"/>
    <s v="Tammy Anthony"/>
  </r>
  <r>
    <x v="1"/>
    <s v="Russell Austin"/>
  </r>
  <r>
    <x v="1"/>
    <s v="Douglas Mcfarland"/>
  </r>
  <r>
    <x v="1"/>
    <s v="Zachary Carpenter"/>
  </r>
  <r>
    <x v="1"/>
    <s v="Dean Avila"/>
  </r>
  <r>
    <x v="1"/>
    <s v="Mr. John Tyler PhD"/>
  </r>
  <r>
    <x v="1"/>
    <s v="Susan Burke"/>
  </r>
  <r>
    <x v="1"/>
    <s v="Kenneth Adams"/>
  </r>
  <r>
    <x v="1"/>
    <s v="William Villarreal"/>
  </r>
  <r>
    <x v="1"/>
    <s v="Jason Martinez"/>
  </r>
  <r>
    <x v="1"/>
    <s v="Cynthia Rodriguez"/>
  </r>
  <r>
    <x v="1"/>
    <s v="Steven Haynes"/>
  </r>
  <r>
    <x v="1"/>
    <s v="Maria Carroll"/>
  </r>
  <r>
    <x v="1"/>
    <s v="James Tanner"/>
  </r>
  <r>
    <x v="1"/>
    <s v="James Murray"/>
  </r>
  <r>
    <x v="1"/>
    <s v="Wesley Deleon"/>
  </r>
  <r>
    <x v="1"/>
    <s v="Timothy Baker"/>
  </r>
  <r>
    <x v="1"/>
    <s v="Sarah Wagner"/>
  </r>
  <r>
    <x v="1"/>
    <s v="Mark Boyle"/>
  </r>
  <r>
    <x v="1"/>
    <s v="Betty Tucker"/>
  </r>
  <r>
    <x v="1"/>
    <s v="Roger Morrison"/>
  </r>
  <r>
    <x v="1"/>
    <s v="Lisa Lowe"/>
  </r>
  <r>
    <x v="1"/>
    <s v="Chad Brown"/>
  </r>
  <r>
    <x v="1"/>
    <s v="Andrew Kirby"/>
  </r>
  <r>
    <x v="1"/>
    <s v="Jasmine Gibbs"/>
  </r>
  <r>
    <x v="1"/>
    <s v="Jessica Greene"/>
  </r>
  <r>
    <x v="1"/>
    <s v="Charles Smith"/>
  </r>
  <r>
    <x v="1"/>
    <s v="Annette Pierce"/>
  </r>
  <r>
    <x v="1"/>
    <s v="Elizabeth White"/>
  </r>
  <r>
    <x v="1"/>
    <s v="Robert Hill"/>
  </r>
  <r>
    <x v="1"/>
    <s v="Laura Yu"/>
  </r>
  <r>
    <x v="1"/>
    <s v="James Garcia"/>
  </r>
  <r>
    <x v="1"/>
    <s v="Matthew Gardner"/>
  </r>
  <r>
    <x v="1"/>
    <s v="Katherine Williams"/>
  </r>
  <r>
    <x v="1"/>
    <s v="Kerri Andrews"/>
  </r>
  <r>
    <x v="1"/>
    <s v="Brian Wheeler"/>
  </r>
  <r>
    <x v="1"/>
    <s v="Nancy Sanchez"/>
  </r>
  <r>
    <x v="1"/>
    <s v="Sarah Flores"/>
  </r>
  <r>
    <x v="1"/>
    <s v="Monica Lee"/>
  </r>
  <r>
    <x v="1"/>
    <s v="George Foster"/>
  </r>
  <r>
    <x v="1"/>
    <s v="Micheal Graham"/>
  </r>
  <r>
    <x v="1"/>
    <s v="Amber Moore"/>
  </r>
  <r>
    <x v="1"/>
    <s v="Willie Huynh"/>
  </r>
  <r>
    <x v="1"/>
    <s v="Jeffrey Weber"/>
  </r>
  <r>
    <x v="1"/>
    <s v="Emily Gill"/>
  </r>
  <r>
    <x v="1"/>
    <s v="Timothy Murphy"/>
  </r>
  <r>
    <x v="1"/>
    <s v="Carol Mitchell"/>
  </r>
  <r>
    <x v="1"/>
    <s v="Kyle Baker"/>
  </r>
  <r>
    <x v="1"/>
    <s v="Olivia Dickerson"/>
  </r>
  <r>
    <x v="1"/>
    <s v="Elizabeth Coffey"/>
  </r>
  <r>
    <x v="1"/>
    <s v="Michael Rodriguez"/>
  </r>
  <r>
    <x v="1"/>
    <s v="Hannah Hendricks"/>
  </r>
  <r>
    <x v="1"/>
    <s v="William Ruiz"/>
  </r>
  <r>
    <x v="1"/>
    <s v="Emma Scott"/>
  </r>
  <r>
    <x v="1"/>
    <s v="Lynn Matthews"/>
  </r>
  <r>
    <x v="1"/>
    <s v="Vincent Perez"/>
  </r>
  <r>
    <x v="1"/>
    <s v="Matthew Parker"/>
  </r>
  <r>
    <x v="1"/>
    <s v="Eric Mason"/>
  </r>
  <r>
    <x v="1"/>
    <s v="Amy Page"/>
  </r>
  <r>
    <x v="1"/>
    <s v="Danielle Mitchell"/>
  </r>
  <r>
    <x v="1"/>
    <s v="Paula Marshall"/>
  </r>
  <r>
    <x v="1"/>
    <s v="Christopher Jordan"/>
  </r>
  <r>
    <x v="1"/>
    <s v="Luis Warner"/>
  </r>
  <r>
    <x v="1"/>
    <s v="Carrie Smith"/>
  </r>
  <r>
    <x v="1"/>
    <s v="Veronica Kelley"/>
  </r>
  <r>
    <x v="1"/>
    <s v="Jessica Sloan"/>
  </r>
  <r>
    <x v="1"/>
    <s v="Roy Miller"/>
  </r>
  <r>
    <x v="1"/>
    <s v="Kimberly Greene"/>
  </r>
  <r>
    <x v="1"/>
    <s v="Christopher Espinoza"/>
  </r>
  <r>
    <x v="1"/>
    <s v="Emily Ellison"/>
  </r>
  <r>
    <x v="1"/>
    <s v="Stephen Hogan"/>
  </r>
  <r>
    <x v="2"/>
    <s v="Austin Davis"/>
  </r>
  <r>
    <x v="2"/>
    <s v="Michael Bell"/>
  </r>
  <r>
    <x v="2"/>
    <s v="Keith Brooks"/>
  </r>
  <r>
    <x v="2"/>
    <s v="Vincent Kramer"/>
  </r>
  <r>
    <x v="2"/>
    <s v="Cynthia Wilcox"/>
  </r>
  <r>
    <x v="2"/>
    <s v="Reginald Hebert"/>
  </r>
  <r>
    <x v="2"/>
    <s v="Sabrina Clark"/>
  </r>
  <r>
    <x v="2"/>
    <s v="Cheryl Stevens"/>
  </r>
  <r>
    <x v="2"/>
    <s v="Kelsey Huber"/>
  </r>
  <r>
    <x v="2"/>
    <s v="Brent Hernandez"/>
  </r>
  <r>
    <x v="2"/>
    <s v="Randy Fisher"/>
  </r>
  <r>
    <x v="2"/>
    <s v="Michelle Lynch"/>
  </r>
  <r>
    <x v="2"/>
    <s v="Nicholas Flores"/>
  </r>
  <r>
    <x v="2"/>
    <s v="Eric Nunez"/>
  </r>
  <r>
    <x v="2"/>
    <s v="Shawn Leach"/>
  </r>
  <r>
    <x v="2"/>
    <s v="Kathryn Gray"/>
  </r>
  <r>
    <x v="2"/>
    <s v="Connie Holmes"/>
  </r>
  <r>
    <x v="2"/>
    <s v="Cassandra Farley"/>
  </r>
  <r>
    <x v="2"/>
    <s v="Ashley Petty"/>
  </r>
  <r>
    <x v="2"/>
    <s v="Kathleen Cox"/>
  </r>
  <r>
    <x v="2"/>
    <s v="Daniel Flowers"/>
  </r>
  <r>
    <x v="2"/>
    <s v="James Benitez"/>
  </r>
  <r>
    <x v="2"/>
    <s v="Casey Garcia"/>
  </r>
  <r>
    <x v="2"/>
    <s v="James Hernandez"/>
  </r>
  <r>
    <x v="2"/>
    <s v="Anthony West"/>
  </r>
  <r>
    <x v="2"/>
    <s v="Brett Sutton"/>
  </r>
  <r>
    <x v="2"/>
    <s v="Sandra Hicks"/>
  </r>
  <r>
    <x v="2"/>
    <s v="Candace Martinez"/>
  </r>
  <r>
    <x v="2"/>
    <s v="Kimberly Smith"/>
  </r>
  <r>
    <x v="2"/>
    <s v="Anthony Lane"/>
  </r>
  <r>
    <x v="2"/>
    <s v="Kaylee Glover"/>
  </r>
  <r>
    <x v="2"/>
    <s v="Robert Brooks"/>
  </r>
  <r>
    <x v="2"/>
    <s v="Jessica Russell"/>
  </r>
  <r>
    <x v="2"/>
    <s v="Tyler Park"/>
  </r>
  <r>
    <x v="2"/>
    <s v="James Taylor"/>
  </r>
  <r>
    <x v="2"/>
    <s v="Donald Moore"/>
  </r>
  <r>
    <x v="2"/>
    <s v="Joseph Knight"/>
  </r>
  <r>
    <x v="2"/>
    <s v="John Thompson"/>
  </r>
  <r>
    <x v="2"/>
    <s v="Austin Hammond"/>
  </r>
  <r>
    <x v="2"/>
    <s v="Lydia Donovan"/>
  </r>
  <r>
    <x v="2"/>
    <s v="Heather Parker"/>
  </r>
  <r>
    <x v="2"/>
    <s v="Jeffrey Johnson III"/>
  </r>
  <r>
    <x v="2"/>
    <s v="Richard Kelley"/>
  </r>
  <r>
    <x v="2"/>
    <s v="Kayla Ross"/>
  </r>
  <r>
    <x v="2"/>
    <s v="Rachel Fisher"/>
  </r>
  <r>
    <x v="2"/>
    <s v="Andrew Barry"/>
  </r>
  <r>
    <x v="2"/>
    <s v="Bryan Russell"/>
  </r>
  <r>
    <x v="2"/>
    <s v="Charles Moore"/>
  </r>
  <r>
    <x v="2"/>
    <s v="Christina Davis"/>
  </r>
  <r>
    <x v="2"/>
    <s v="James Dickerson"/>
  </r>
  <r>
    <x v="2"/>
    <s v="Sabrina Hartman"/>
  </r>
  <r>
    <x v="2"/>
    <s v="Kevin Jackson"/>
  </r>
  <r>
    <x v="2"/>
    <s v="Kristen Lawson"/>
  </r>
  <r>
    <x v="2"/>
    <s v="Darryl Robbins"/>
  </r>
  <r>
    <x v="2"/>
    <s v="Jesse Bond"/>
  </r>
  <r>
    <x v="2"/>
    <s v="Jenna Holland"/>
  </r>
  <r>
    <x v="2"/>
    <s v="Michelle Williams"/>
  </r>
  <r>
    <x v="2"/>
    <s v="Rebecca Wright"/>
  </r>
  <r>
    <x v="2"/>
    <s v="Justin Vasquez"/>
  </r>
  <r>
    <x v="2"/>
    <s v="Aaron Jones"/>
  </r>
  <r>
    <x v="2"/>
    <s v="Vanessa Smith"/>
  </r>
  <r>
    <x v="2"/>
    <s v="Jessica Baker"/>
  </r>
  <r>
    <x v="2"/>
    <s v="William Morse"/>
  </r>
  <r>
    <x v="2"/>
    <s v="Stephanie Leonard"/>
  </r>
  <r>
    <x v="2"/>
    <s v="Randy Johnson"/>
  </r>
  <r>
    <x v="2"/>
    <s v="Mark Dixon"/>
  </r>
  <r>
    <x v="2"/>
    <s v="Victoria Duran"/>
  </r>
  <r>
    <x v="2"/>
    <s v="Luis Luna"/>
  </r>
  <r>
    <x v="2"/>
    <s v="Stephanie Thomas"/>
  </r>
  <r>
    <x v="2"/>
    <s v="Thomas Matthews"/>
  </r>
  <r>
    <x v="2"/>
    <s v="Jonathan Young"/>
  </r>
  <r>
    <x v="2"/>
    <s v="Sheri Berg"/>
  </r>
  <r>
    <x v="2"/>
    <s v="Brittany Jenkins"/>
  </r>
  <r>
    <x v="2"/>
    <s v="Courtney Williams"/>
  </r>
  <r>
    <x v="2"/>
    <s v="Brandon Alvarado"/>
  </r>
  <r>
    <x v="2"/>
    <s v="Shawn Wise"/>
  </r>
  <r>
    <x v="2"/>
    <s v="Adam James"/>
  </r>
  <r>
    <x v="2"/>
    <s v="Mitchell Lester"/>
  </r>
  <r>
    <x v="2"/>
    <s v="Justin Thomas"/>
  </r>
  <r>
    <x v="2"/>
    <s v="Brian Young"/>
  </r>
  <r>
    <x v="2"/>
    <s v="Becky Hodges"/>
  </r>
  <r>
    <x v="2"/>
    <s v="Tyler Thompson"/>
  </r>
  <r>
    <x v="2"/>
    <s v="Anthony May"/>
  </r>
  <r>
    <x v="2"/>
    <s v="Jacqueline Harris"/>
  </r>
  <r>
    <x v="2"/>
    <s v="Samuel Moore"/>
  </r>
  <r>
    <x v="2"/>
    <s v="Jason Brown"/>
  </r>
  <r>
    <x v="2"/>
    <s v="Richard Castaneda"/>
  </r>
  <r>
    <x v="2"/>
    <s v="Monica Gibson"/>
  </r>
  <r>
    <x v="2"/>
    <s v="Danny Ramirez"/>
  </r>
  <r>
    <x v="2"/>
    <s v="Lauren Harris"/>
  </r>
  <r>
    <x v="2"/>
    <s v="Michelle Hunter"/>
  </r>
  <r>
    <x v="2"/>
    <s v="Keith Smith"/>
  </r>
  <r>
    <x v="2"/>
    <s v="Julia Gallagher"/>
  </r>
  <r>
    <x v="2"/>
    <s v="Tanya Thomas MD"/>
  </r>
  <r>
    <x v="2"/>
    <s v="Hailey Chandler"/>
  </r>
  <r>
    <x v="2"/>
    <s v="Frank Reynolds"/>
  </r>
  <r>
    <x v="2"/>
    <s v="Matthew Kelley"/>
  </r>
  <r>
    <x v="2"/>
    <s v="Tammy Bell"/>
  </r>
  <r>
    <x v="2"/>
    <s v="Patricia Sanford"/>
  </r>
  <r>
    <x v="2"/>
    <s v="Dale Craig"/>
  </r>
  <r>
    <x v="2"/>
    <s v="Jeffrey Dixon"/>
  </r>
  <r>
    <x v="2"/>
    <s v="Brenda Davis"/>
  </r>
  <r>
    <x v="2"/>
    <s v="Steven Herrera"/>
  </r>
  <r>
    <x v="2"/>
    <s v="Shelby Browning"/>
  </r>
  <r>
    <x v="2"/>
    <s v="Katherine Harris"/>
  </r>
  <r>
    <x v="2"/>
    <s v="Richard Lyons"/>
  </r>
  <r>
    <x v="2"/>
    <s v="Erica Scott"/>
  </r>
  <r>
    <x v="2"/>
    <s v="Eric Griffith"/>
  </r>
  <r>
    <x v="2"/>
    <s v="Kyle Dickson"/>
  </r>
  <r>
    <x v="2"/>
    <s v="Jacob Stewart"/>
  </r>
  <r>
    <x v="2"/>
    <s v="Steven Acosta"/>
  </r>
  <r>
    <x v="2"/>
    <s v="Anthony Evans"/>
  </r>
  <r>
    <x v="2"/>
    <s v="Cynthia Ferguson"/>
  </r>
  <r>
    <x v="2"/>
    <s v="Terry Mcdaniel"/>
  </r>
  <r>
    <x v="2"/>
    <s v="Robert Stokes"/>
  </r>
  <r>
    <x v="2"/>
    <s v="Mrs. Rachel Cannon DDS"/>
  </r>
  <r>
    <x v="2"/>
    <s v="Craig Ortega"/>
  </r>
  <r>
    <x v="2"/>
    <s v="Kaitlyn Flores"/>
  </r>
  <r>
    <x v="2"/>
    <s v="April Marquez"/>
  </r>
  <r>
    <x v="2"/>
    <s v="Shannon Warren"/>
  </r>
  <r>
    <x v="2"/>
    <s v="Jason Randolph"/>
  </r>
  <r>
    <x v="2"/>
    <s v="Jamie Bradley"/>
  </r>
  <r>
    <x v="2"/>
    <s v="David Hamilton"/>
  </r>
  <r>
    <x v="2"/>
    <s v="Eddie Gonzales"/>
  </r>
  <r>
    <x v="2"/>
    <s v="Morgan Mccarthy"/>
  </r>
  <r>
    <x v="2"/>
    <s v="John Thomas"/>
  </r>
  <r>
    <x v="2"/>
    <s v="Ashley Rodriguez"/>
  </r>
  <r>
    <x v="2"/>
    <s v="Bryan Brown"/>
  </r>
  <r>
    <x v="2"/>
    <s v="Ashley Aguilar"/>
  </r>
  <r>
    <x v="2"/>
    <s v="Sarah Montgomery"/>
  </r>
  <r>
    <x v="2"/>
    <s v="Brenda Murphy"/>
  </r>
  <r>
    <x v="2"/>
    <s v="Angela Todd"/>
  </r>
  <r>
    <x v="2"/>
    <s v="Evelyn Harris"/>
  </r>
  <r>
    <x v="2"/>
    <s v="Terri Madden"/>
  </r>
  <r>
    <x v="2"/>
    <s v="William Walters"/>
  </r>
  <r>
    <x v="2"/>
    <s v="Brandi Vasquez"/>
  </r>
  <r>
    <x v="2"/>
    <s v="Heather Gray"/>
  </r>
  <r>
    <x v="2"/>
    <s v="William Carr"/>
  </r>
  <r>
    <x v="2"/>
    <s v="Jacob Guzman"/>
  </r>
  <r>
    <x v="2"/>
    <s v="Michael Nash"/>
  </r>
  <r>
    <x v="2"/>
    <s v="Michael Gallegos"/>
  </r>
  <r>
    <x v="2"/>
    <s v="David Padilla"/>
  </r>
  <r>
    <x v="2"/>
    <s v="Kyle Jackson"/>
  </r>
  <r>
    <x v="2"/>
    <s v="Jessica Richardson"/>
  </r>
  <r>
    <x v="2"/>
    <s v="Rebecca Huff"/>
  </r>
  <r>
    <x v="2"/>
    <s v="Lance Cain"/>
  </r>
  <r>
    <x v="2"/>
    <s v="Ronald Frey Jr."/>
  </r>
  <r>
    <x v="2"/>
    <s v="Andrew Allen"/>
  </r>
  <r>
    <x v="2"/>
    <s v="Lori Colon"/>
  </r>
  <r>
    <x v="2"/>
    <s v="Jennifer Chase"/>
  </r>
  <r>
    <x v="2"/>
    <s v="Karen Townsend"/>
  </r>
  <r>
    <x v="2"/>
    <s v="Tiffany Robinson"/>
  </r>
  <r>
    <x v="2"/>
    <s v="Miguel Alvarez"/>
  </r>
  <r>
    <x v="2"/>
    <s v="Marcus Brown"/>
  </r>
  <r>
    <x v="2"/>
    <s v="Amanda Williams"/>
  </r>
  <r>
    <x v="2"/>
    <s v="William Hill"/>
  </r>
  <r>
    <x v="2"/>
    <s v="Kenneth Matthews"/>
  </r>
  <r>
    <x v="2"/>
    <s v="Jasmine James"/>
  </r>
  <r>
    <x v="2"/>
    <s v="Randall Bell"/>
  </r>
  <r>
    <x v="2"/>
    <s v="Amy Duran MD"/>
  </r>
  <r>
    <x v="2"/>
    <s v="Kaitlyn Graham MD"/>
  </r>
  <r>
    <x v="2"/>
    <s v="Scott Craig"/>
  </r>
  <r>
    <x v="2"/>
    <s v="Mary Crawford"/>
  </r>
  <r>
    <x v="2"/>
    <s v="Alexandra Moran"/>
  </r>
  <r>
    <x v="2"/>
    <s v="Brandon Hughes"/>
  </r>
  <r>
    <x v="2"/>
    <s v="Nicole Dudley"/>
  </r>
  <r>
    <x v="2"/>
    <s v="David Bell"/>
  </r>
  <r>
    <x v="2"/>
    <s v="Austin White"/>
  </r>
  <r>
    <x v="2"/>
    <s v="Pamela Callahan DVM"/>
  </r>
  <r>
    <x v="2"/>
    <s v="Claire Cole"/>
  </r>
  <r>
    <x v="2"/>
    <s v="Larry Casey"/>
  </r>
  <r>
    <x v="2"/>
    <s v="Jacob Mann"/>
  </r>
  <r>
    <x v="2"/>
    <s v="Frank Garcia"/>
  </r>
  <r>
    <x v="2"/>
    <s v="John Cox"/>
  </r>
  <r>
    <x v="2"/>
    <s v="Brandon Norton"/>
  </r>
  <r>
    <x v="2"/>
    <s v="Maria Davis"/>
  </r>
  <r>
    <x v="2"/>
    <s v="Suzanne Cross"/>
  </r>
  <r>
    <x v="2"/>
    <s v="Leonard Gonzalez"/>
  </r>
  <r>
    <x v="2"/>
    <s v="Nicholas Martin"/>
  </r>
  <r>
    <x v="2"/>
    <s v="Renee Robinson"/>
  </r>
  <r>
    <x v="2"/>
    <s v="Susan Ramirez"/>
  </r>
  <r>
    <x v="2"/>
    <s v="Jeffrey Henderson"/>
  </r>
  <r>
    <x v="2"/>
    <s v="Mark Fry"/>
  </r>
  <r>
    <x v="2"/>
    <s v="Stephanie Manning"/>
  </r>
  <r>
    <x v="2"/>
    <s v="Robert Daniels"/>
  </r>
  <r>
    <x v="2"/>
    <s v="Kelly Jones"/>
  </r>
  <r>
    <x v="2"/>
    <s v="Ashley Adams MD"/>
  </r>
  <r>
    <x v="2"/>
    <s v="Lawrence Oliver"/>
  </r>
  <r>
    <x v="2"/>
    <s v="Daniel Burns"/>
  </r>
  <r>
    <x v="2"/>
    <s v="Benjamin Higgins"/>
  </r>
  <r>
    <x v="2"/>
    <s v="Vincent Roth"/>
  </r>
  <r>
    <x v="2"/>
    <s v="Carlos Wells"/>
  </r>
  <r>
    <x v="2"/>
    <s v="Benjamin Meadows"/>
  </r>
  <r>
    <x v="2"/>
    <s v="Howard Esparza"/>
  </r>
  <r>
    <x v="2"/>
    <s v="Adam Stevens"/>
  </r>
  <r>
    <x v="2"/>
    <s v="Sylvia Barron"/>
  </r>
  <r>
    <x v="2"/>
    <s v="Johnny Simon"/>
  </r>
  <r>
    <x v="2"/>
    <s v="Anna Blackburn"/>
  </r>
  <r>
    <x v="2"/>
    <s v="Nancy Boyd"/>
  </r>
  <r>
    <x v="2"/>
    <s v="Lindsay Jackson"/>
  </r>
  <r>
    <x v="2"/>
    <s v="Robert Rojas"/>
  </r>
  <r>
    <x v="2"/>
    <s v="Roberto Parrish"/>
  </r>
  <r>
    <x v="2"/>
    <s v="Marisa Prince"/>
  </r>
  <r>
    <x v="2"/>
    <s v="William Wu"/>
  </r>
  <r>
    <x v="2"/>
    <s v="Cheyenne Rose"/>
  </r>
  <r>
    <x v="2"/>
    <s v="Walter Crawford"/>
  </r>
  <r>
    <x v="2"/>
    <s v="Jacqueline Hubbard"/>
  </r>
  <r>
    <x v="2"/>
    <s v="Jesus Zuniga"/>
  </r>
  <r>
    <x v="2"/>
    <s v="Jacob Martinez"/>
  </r>
  <r>
    <x v="2"/>
    <s v="Melissa Mitchell"/>
  </r>
  <r>
    <x v="2"/>
    <s v="Steven Steele"/>
  </r>
  <r>
    <x v="2"/>
    <s v="Debra Rodriguez"/>
  </r>
  <r>
    <x v="2"/>
    <s v="Emily Frederick"/>
  </r>
  <r>
    <x v="2"/>
    <s v="Joshua Murray"/>
  </r>
  <r>
    <x v="2"/>
    <s v="Ashlee Mills"/>
  </r>
  <r>
    <x v="2"/>
    <s v="Lori Adkins"/>
  </r>
  <r>
    <x v="2"/>
    <s v="Stephanie Hayes"/>
  </r>
  <r>
    <x v="2"/>
    <s v="Kevin Johnson"/>
  </r>
  <r>
    <x v="2"/>
    <s v="James Jones"/>
  </r>
  <r>
    <x v="2"/>
    <s v="Juan Kelly"/>
  </r>
  <r>
    <x v="2"/>
    <s v="Sierra Rios"/>
  </r>
  <r>
    <x v="2"/>
    <s v="Kevin Cooper"/>
  </r>
  <r>
    <x v="2"/>
    <s v="Janet Guerrero"/>
  </r>
  <r>
    <x v="2"/>
    <s v="Tanya Walker"/>
  </r>
  <r>
    <x v="2"/>
    <s v="Anna Ferguson"/>
  </r>
  <r>
    <x v="2"/>
    <s v="Erin Hernandez"/>
  </r>
  <r>
    <x v="2"/>
    <s v="Aaron Johnson"/>
  </r>
  <r>
    <x v="2"/>
    <s v="Joseph Hooper"/>
  </r>
  <r>
    <x v="2"/>
    <s v="Terry Gilbert"/>
  </r>
  <r>
    <x v="2"/>
    <s v="Alisha Saunders"/>
  </r>
  <r>
    <x v="2"/>
    <s v="Scott Gibbs"/>
  </r>
  <r>
    <x v="2"/>
    <s v="Bethany Harrison"/>
  </r>
  <r>
    <x v="2"/>
    <s v="Kristy Hernandez"/>
  </r>
  <r>
    <x v="2"/>
    <s v="Christina Conner"/>
  </r>
  <r>
    <x v="2"/>
    <s v="Ricardo Andrews"/>
  </r>
  <r>
    <x v="2"/>
    <s v="Amy Williams"/>
  </r>
  <r>
    <x v="2"/>
    <s v="Paul Rogers"/>
  </r>
  <r>
    <x v="2"/>
    <s v="Adam Clark"/>
  </r>
  <r>
    <x v="2"/>
    <s v="Melissa Wise"/>
  </r>
  <r>
    <x v="2"/>
    <s v="Joseph Wilson"/>
  </r>
  <r>
    <x v="2"/>
    <s v="Ashley Palmer"/>
  </r>
  <r>
    <x v="2"/>
    <s v="Eric Bates"/>
  </r>
  <r>
    <x v="2"/>
    <s v="Stephanie Sanchez"/>
  </r>
  <r>
    <x v="2"/>
    <s v="Jessica Hunt"/>
  </r>
  <r>
    <x v="2"/>
    <s v="Christopher Brooks"/>
  </r>
  <r>
    <x v="2"/>
    <s v="Jason Norman"/>
  </r>
  <r>
    <x v="2"/>
    <s v="Daryl Miles"/>
  </r>
  <r>
    <x v="2"/>
    <s v="Edward Valencia"/>
  </r>
  <r>
    <x v="2"/>
    <s v="Peter Castro"/>
  </r>
  <r>
    <x v="2"/>
    <s v="Mary Johnson"/>
  </r>
  <r>
    <x v="2"/>
    <s v="Christopher Kirk"/>
  </r>
  <r>
    <x v="2"/>
    <s v="Stephanie Flores"/>
  </r>
  <r>
    <x v="2"/>
    <s v="Connie Richards"/>
  </r>
  <r>
    <x v="2"/>
    <s v="Christine Wheeler"/>
  </r>
  <r>
    <x v="2"/>
    <s v="Joseph Perkins"/>
  </r>
  <r>
    <x v="2"/>
    <s v="Bryan Baird"/>
  </r>
  <r>
    <x v="2"/>
    <s v="Bryan Anderson"/>
  </r>
  <r>
    <x v="2"/>
    <s v="Melinda Montoya"/>
  </r>
  <r>
    <x v="2"/>
    <s v="Martha Carney"/>
  </r>
  <r>
    <x v="2"/>
    <s v="Bianca Brown"/>
  </r>
  <r>
    <x v="2"/>
    <s v="Sarah Miller"/>
  </r>
  <r>
    <x v="2"/>
    <s v="Barry Garcia"/>
  </r>
  <r>
    <x v="2"/>
    <s v="Kimberly Fuller"/>
  </r>
  <r>
    <x v="2"/>
    <s v="Charles Lane"/>
  </r>
  <r>
    <x v="2"/>
    <s v="Jessica Barajas"/>
  </r>
  <r>
    <x v="2"/>
    <s v="Mrs. Lauren Potter DDS"/>
  </r>
  <r>
    <x v="2"/>
    <s v="Julie Chavez"/>
  </r>
  <r>
    <x v="2"/>
    <s v="Robert Mosley"/>
  </r>
  <r>
    <x v="2"/>
    <s v="Nancy Kennedy"/>
  </r>
  <r>
    <x v="2"/>
    <s v="Kristine Carter"/>
  </r>
  <r>
    <x v="2"/>
    <s v="Malik Walker"/>
  </r>
  <r>
    <x v="2"/>
    <s v="Shane Clark"/>
  </r>
  <r>
    <x v="2"/>
    <s v="April Welch"/>
  </r>
  <r>
    <x v="2"/>
    <s v="Donald Medina"/>
  </r>
  <r>
    <x v="2"/>
    <s v="Richard Petersen"/>
  </r>
  <r>
    <x v="2"/>
    <s v="Raymond Bean"/>
  </r>
  <r>
    <x v="2"/>
    <s v="Nicole Warren"/>
  </r>
  <r>
    <x v="2"/>
    <s v="Alicia Allen"/>
  </r>
  <r>
    <x v="2"/>
    <s v="James Clarke"/>
  </r>
  <r>
    <x v="2"/>
    <s v="Claudia Curry"/>
  </r>
  <r>
    <x v="2"/>
    <s v="Mr. Ralph Garcia Jr."/>
  </r>
  <r>
    <x v="2"/>
    <s v="William Cook"/>
  </r>
  <r>
    <x v="2"/>
    <s v="Scott Harris"/>
  </r>
  <r>
    <x v="2"/>
    <s v="Sherri Ferguson DVM"/>
  </r>
  <r>
    <x v="2"/>
    <s v="Brett Mullins"/>
  </r>
  <r>
    <x v="2"/>
    <s v="Devon Schmitt"/>
  </r>
  <r>
    <x v="2"/>
    <s v="John Fields"/>
  </r>
  <r>
    <x v="2"/>
    <s v="Tiffany Parker"/>
  </r>
  <r>
    <x v="3"/>
    <s v="Jeff Duncan"/>
  </r>
  <r>
    <x v="3"/>
    <s v="Jeffrey Kline"/>
  </r>
  <r>
    <x v="3"/>
    <s v="John Jones"/>
  </r>
  <r>
    <x v="3"/>
    <s v="Carl Ryan"/>
  </r>
  <r>
    <x v="3"/>
    <s v="Cheryl Johnson"/>
  </r>
  <r>
    <x v="3"/>
    <s v="Jason Wilson"/>
  </r>
  <r>
    <x v="3"/>
    <s v="Andrew Macias"/>
  </r>
  <r>
    <x v="3"/>
    <s v="Dr. Jennifer Benton DVM"/>
  </r>
  <r>
    <x v="3"/>
    <s v="Kayla Becker"/>
  </r>
  <r>
    <x v="3"/>
    <s v="Brooke Gonzalez"/>
  </r>
  <r>
    <x v="3"/>
    <s v="Karen Johnson"/>
  </r>
  <r>
    <x v="3"/>
    <s v="Spencer Spears"/>
  </r>
  <r>
    <x v="3"/>
    <s v="Sarah Torres"/>
  </r>
  <r>
    <x v="3"/>
    <s v="Mr. Eric Lopez"/>
  </r>
  <r>
    <x v="3"/>
    <s v="Andrew Krueger"/>
  </r>
  <r>
    <x v="3"/>
    <s v="Jean Jackson"/>
  </r>
  <r>
    <x v="3"/>
    <s v="Alison Martin"/>
  </r>
  <r>
    <x v="3"/>
    <s v="Meghan Ballard"/>
  </r>
  <r>
    <x v="3"/>
    <s v="Daniel Price"/>
  </r>
  <r>
    <x v="3"/>
    <s v="Cory Evans"/>
  </r>
  <r>
    <x v="3"/>
    <s v="Louis Jimenez"/>
  </r>
  <r>
    <x v="3"/>
    <s v="Donald Hernandez"/>
  </r>
  <r>
    <x v="3"/>
    <s v="John Silva"/>
  </r>
  <r>
    <x v="3"/>
    <s v="Elizabeth Gonzalez"/>
  </r>
  <r>
    <x v="3"/>
    <s v="Janet Carlson"/>
  </r>
  <r>
    <x v="3"/>
    <s v="Michael Stewart"/>
  </r>
  <r>
    <x v="3"/>
    <s v="Connie Olson"/>
  </r>
  <r>
    <x v="3"/>
    <s v="Renee Solomon"/>
  </r>
  <r>
    <x v="3"/>
    <s v="Taylor White"/>
  </r>
  <r>
    <x v="3"/>
    <s v="Whitney Stout"/>
  </r>
  <r>
    <x v="3"/>
    <s v="Mr. Curtis Bailey"/>
  </r>
  <r>
    <x v="3"/>
    <s v="Debra Smith"/>
  </r>
  <r>
    <x v="3"/>
    <s v="Marissa Hartman"/>
  </r>
  <r>
    <x v="3"/>
    <s v="Daniel Mosley"/>
  </r>
  <r>
    <x v="3"/>
    <s v="Marcus Flores"/>
  </r>
  <r>
    <x v="3"/>
    <s v="Maria Miller"/>
  </r>
  <r>
    <x v="3"/>
    <s v="Lisa Graham"/>
  </r>
  <r>
    <x v="3"/>
    <s v="Daniel Dixon"/>
  </r>
  <r>
    <x v="3"/>
    <s v="Cynthia Smith"/>
  </r>
  <r>
    <x v="3"/>
    <s v="Megan Charles"/>
  </r>
  <r>
    <x v="3"/>
    <s v="Zachary Pierce"/>
  </r>
  <r>
    <x v="3"/>
    <s v="Megan Mclean"/>
  </r>
  <r>
    <x v="3"/>
    <s v="Cassandra Jordan"/>
  </r>
  <r>
    <x v="3"/>
    <s v="Denise Hampton"/>
  </r>
  <r>
    <x v="3"/>
    <s v="Charles Williams"/>
  </r>
  <r>
    <x v="3"/>
    <s v="Rebecca Owen"/>
  </r>
  <r>
    <x v="3"/>
    <s v="Randy Acosta"/>
  </r>
  <r>
    <x v="3"/>
    <s v="Kathy Wilson"/>
  </r>
  <r>
    <x v="3"/>
    <s v="Andrew Griffin"/>
  </r>
  <r>
    <x v="3"/>
    <s v="Brandon Kirk"/>
  </r>
  <r>
    <x v="3"/>
    <s v="Autumn Lee"/>
  </r>
  <r>
    <x v="3"/>
    <s v="Jamie Jimenez"/>
  </r>
  <r>
    <x v="3"/>
    <s v="Sean Elliott"/>
  </r>
  <r>
    <x v="3"/>
    <s v="David Brown"/>
  </r>
  <r>
    <x v="3"/>
    <s v="Julie Smith MD"/>
  </r>
  <r>
    <x v="3"/>
    <s v="Paul Bryant"/>
  </r>
  <r>
    <x v="3"/>
    <s v="Jennifer Hernandez"/>
  </r>
  <r>
    <x v="3"/>
    <s v="Tony Maddox"/>
  </r>
  <r>
    <x v="3"/>
    <s v="George Ashley"/>
  </r>
  <r>
    <x v="3"/>
    <s v="Tonya Long"/>
  </r>
  <r>
    <x v="3"/>
    <s v="Sean Smith"/>
  </r>
  <r>
    <x v="3"/>
    <s v="Renee Gomez"/>
  </r>
  <r>
    <x v="3"/>
    <s v="Christopher Thomas"/>
  </r>
  <r>
    <x v="3"/>
    <s v="Eric Johnson"/>
  </r>
  <r>
    <x v="3"/>
    <s v="Michael Jimenez"/>
  </r>
  <r>
    <x v="3"/>
    <s v="Kimberly King"/>
  </r>
  <r>
    <x v="3"/>
    <s v="Matthew Blake"/>
  </r>
  <r>
    <x v="3"/>
    <s v="David Allen"/>
  </r>
  <r>
    <x v="3"/>
    <s v="Karina Barr"/>
  </r>
  <r>
    <x v="3"/>
    <s v="Beverly Lamb"/>
  </r>
  <r>
    <x v="3"/>
    <s v="Shannon Maynard"/>
  </r>
  <r>
    <x v="3"/>
    <s v="Andrea Hill"/>
  </r>
  <r>
    <x v="3"/>
    <s v="Victor Collins"/>
  </r>
  <r>
    <x v="3"/>
    <s v="Rebecca Smith"/>
  </r>
  <r>
    <x v="3"/>
    <s v="Jamie Brewer"/>
  </r>
  <r>
    <x v="3"/>
    <s v="Katrina Wood"/>
  </r>
  <r>
    <x v="3"/>
    <s v="Kristin Hart"/>
  </r>
  <r>
    <x v="3"/>
    <s v="Danielle Ramirez"/>
  </r>
  <r>
    <x v="3"/>
    <s v="Crystal Chambers"/>
  </r>
  <r>
    <x v="3"/>
    <s v="Mark Roy"/>
  </r>
  <r>
    <x v="3"/>
    <s v="Jason Hernandez"/>
  </r>
  <r>
    <x v="3"/>
    <s v="Tara Hughes"/>
  </r>
  <r>
    <x v="3"/>
    <s v="Sabrina Buckley"/>
  </r>
  <r>
    <x v="3"/>
    <s v="Nancy Jones"/>
  </r>
  <r>
    <x v="3"/>
    <s v="Mark Blackburn"/>
  </r>
  <r>
    <x v="3"/>
    <s v="Mark Rodriguez"/>
  </r>
  <r>
    <x v="3"/>
    <s v="Kelsey Castaneda"/>
  </r>
  <r>
    <x v="3"/>
    <s v="William Beck"/>
  </r>
  <r>
    <x v="3"/>
    <s v="Samuel Wallace"/>
  </r>
  <r>
    <x v="3"/>
    <s v="Carl Wade DDS"/>
  </r>
  <r>
    <x v="3"/>
    <s v="Michelle Hardy"/>
  </r>
  <r>
    <x v="3"/>
    <s v="Connor Morgan"/>
  </r>
  <r>
    <x v="3"/>
    <s v="Morgan Montes"/>
  </r>
  <r>
    <x v="3"/>
    <s v="Caitlin Thomas"/>
  </r>
  <r>
    <x v="3"/>
    <s v="Patricia Davis"/>
  </r>
  <r>
    <x v="3"/>
    <s v="Nicholas Tucker"/>
  </r>
  <r>
    <x v="3"/>
    <s v="Lawrence Robinson"/>
  </r>
  <r>
    <x v="3"/>
    <s v="Gregory English"/>
  </r>
  <r>
    <x v="3"/>
    <s v="Nicholas Johnson"/>
  </r>
  <r>
    <x v="3"/>
    <s v="Christopher Walker"/>
  </r>
  <r>
    <x v="3"/>
    <s v="Douglas Reynolds"/>
  </r>
  <r>
    <x v="3"/>
    <s v="Jerry Smith"/>
  </r>
  <r>
    <x v="3"/>
    <s v="Mario Hall"/>
  </r>
  <r>
    <x v="3"/>
    <s v="Christopher Stone"/>
  </r>
  <r>
    <x v="3"/>
    <s v="Ryan Foster"/>
  </r>
  <r>
    <x v="3"/>
    <s v="Vanessa Deleon"/>
  </r>
  <r>
    <x v="3"/>
    <s v="Christina Oconnell"/>
  </r>
  <r>
    <x v="3"/>
    <s v="Samuel Hayes"/>
  </r>
  <r>
    <x v="3"/>
    <s v="Logan Galloway"/>
  </r>
  <r>
    <x v="3"/>
    <s v="Cindy Rowland"/>
  </r>
  <r>
    <x v="3"/>
    <s v="Tina Davies"/>
  </r>
  <r>
    <x v="3"/>
    <s v="Michael Chambers"/>
  </r>
  <r>
    <x v="3"/>
    <s v="Reginald Espinoza"/>
  </r>
  <r>
    <x v="3"/>
    <s v="Cathy Clark"/>
  </r>
  <r>
    <x v="3"/>
    <s v="Douglas Pennington"/>
  </r>
  <r>
    <x v="3"/>
    <s v="David Lara"/>
  </r>
  <r>
    <x v="3"/>
    <s v="Thomas Wallace"/>
  </r>
  <r>
    <x v="3"/>
    <s v="Mr. Nathaniel Reeves"/>
  </r>
  <r>
    <x v="3"/>
    <s v="Joyce Good MD"/>
  </r>
  <r>
    <x v="3"/>
    <s v="Rebekah Carter"/>
  </r>
  <r>
    <x v="3"/>
    <s v="Jennifer Arnold"/>
  </r>
  <r>
    <x v="3"/>
    <s v="Michelle Anderson"/>
  </r>
  <r>
    <x v="3"/>
    <s v="Kimberly Beard"/>
  </r>
  <r>
    <x v="3"/>
    <s v="Ryan Hale"/>
  </r>
  <r>
    <x v="3"/>
    <s v="Raymond Reyes"/>
  </r>
  <r>
    <x v="3"/>
    <s v="Roger Harris"/>
  </r>
  <r>
    <x v="3"/>
    <s v="William Martin"/>
  </r>
  <r>
    <x v="3"/>
    <s v="Vanessa Bauer"/>
  </r>
  <r>
    <x v="3"/>
    <s v="Elizabeth Hernandez"/>
  </r>
  <r>
    <x v="3"/>
    <s v="Dr. Terry Alvarado"/>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550C09-58FD-43B3-B43A-CAA4E7C4C34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7:B33" firstHeaderRow="1" firstDataRow="1" firstDataCol="1"/>
  <pivotFields count="10">
    <pivotField numFmtId="14" showAll="0"/>
    <pivotField numFmtId="1" showAll="0">
      <items count="7">
        <item x="0"/>
        <item x="1"/>
        <item x="2"/>
        <item x="3"/>
        <item x="4"/>
        <item x="5"/>
        <item t="default"/>
      </items>
    </pivotField>
    <pivotField numFmtId="1" showAll="0">
      <items count="13">
        <item x="10"/>
        <item x="11"/>
        <item x="0"/>
        <item x="1"/>
        <item x="2"/>
        <item x="3"/>
        <item x="4"/>
        <item x="5"/>
        <item x="6"/>
        <item x="7"/>
        <item x="8"/>
        <item x="9"/>
        <item t="default"/>
      </items>
    </pivotField>
    <pivotField showAll="0"/>
    <pivotField axis="axisRow" showAll="0">
      <items count="7">
        <item x="5"/>
        <item x="2"/>
        <item x="0"/>
        <item x="1"/>
        <item x="3"/>
        <item x="4"/>
        <item t="default"/>
      </items>
    </pivotField>
    <pivotField showAll="0">
      <items count="4">
        <item x="0"/>
        <item x="2"/>
        <item x="1"/>
        <item t="default"/>
      </items>
    </pivotField>
    <pivotField showAll="0" sortType="descending">
      <items count="13">
        <item x="10"/>
        <item x="7"/>
        <item x="4"/>
        <item x="0"/>
        <item x="11"/>
        <item x="9"/>
        <item x="6"/>
        <item x="1"/>
        <item x="2"/>
        <item x="5"/>
        <item x="3"/>
        <item x="8"/>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164" showAll="0"/>
  </pivotFields>
  <rowFields count="1">
    <field x="4"/>
  </rowFields>
  <rowItems count="6">
    <i>
      <x/>
    </i>
    <i>
      <x v="1"/>
    </i>
    <i>
      <x v="2"/>
    </i>
    <i>
      <x v="3"/>
    </i>
    <i>
      <x v="4"/>
    </i>
    <i>
      <x v="5"/>
    </i>
  </rowItems>
  <colItems count="1">
    <i/>
  </colItems>
  <dataFields count="1">
    <dataField name="Sum of Sales" fld="7" baseField="0" baseItem="0" numFmtId="164"/>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E21C96-3CCC-4CF3-BEA7-B76E94EDA1A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3:K805" firstHeaderRow="1" firstDataRow="1" firstDataCol="1"/>
  <pivotFields count="10">
    <pivotField numFmtId="14" showAll="0"/>
    <pivotField numFmtId="1" showAll="0">
      <items count="7">
        <item x="0"/>
        <item x="1"/>
        <item x="2"/>
        <item x="3"/>
        <item x="4"/>
        <item x="5"/>
        <item t="default"/>
      </items>
    </pivotField>
    <pivotField numFmtId="1" showAll="0"/>
    <pivotField axis="axisRow" showAll="0" sortType="descending">
      <items count="803">
        <item x="287"/>
        <item x="611"/>
        <item x="445"/>
        <item x="24"/>
        <item x="274"/>
        <item x="622"/>
        <item x="462"/>
        <item x="579"/>
        <item x="45"/>
        <item x="163"/>
        <item x="297"/>
        <item x="295"/>
        <item x="259"/>
        <item x="548"/>
        <item x="159"/>
        <item x="661"/>
        <item x="169"/>
        <item x="119"/>
        <item x="614"/>
        <item x="688"/>
        <item x="67"/>
        <item x="205"/>
        <item x="539"/>
        <item x="220"/>
        <item x="23"/>
        <item x="6"/>
        <item x="356"/>
        <item x="544"/>
        <item x="213"/>
        <item x="373"/>
        <item x="44"/>
        <item x="620"/>
        <item x="300"/>
        <item x="117"/>
        <item x="743"/>
        <item x="532"/>
        <item x="431"/>
        <item x="304"/>
        <item x="19"/>
        <item x="720"/>
        <item x="338"/>
        <item x="686"/>
        <item x="678"/>
        <item x="49"/>
        <item x="160"/>
        <item x="65"/>
        <item x="171"/>
        <item x="516"/>
        <item x="208"/>
        <item x="157"/>
        <item x="582"/>
        <item x="609"/>
        <item x="342"/>
        <item x="234"/>
        <item x="496"/>
        <item x="415"/>
        <item x="468"/>
        <item x="410"/>
        <item x="229"/>
        <item x="503"/>
        <item x="656"/>
        <item x="599"/>
        <item x="571"/>
        <item x="513"/>
        <item x="268"/>
        <item x="625"/>
        <item x="404"/>
        <item x="511"/>
        <item x="113"/>
        <item x="386"/>
        <item x="424"/>
        <item x="552"/>
        <item x="722"/>
        <item x="646"/>
        <item x="466"/>
        <item x="28"/>
        <item x="574"/>
        <item x="577"/>
        <item x="616"/>
        <item x="334"/>
        <item x="741"/>
        <item x="644"/>
        <item x="187"/>
        <item x="520"/>
        <item x="460"/>
        <item x="267"/>
        <item x="549"/>
        <item x="721"/>
        <item x="168"/>
        <item x="559"/>
        <item x="486"/>
        <item x="515"/>
        <item x="395"/>
        <item x="196"/>
        <item x="668"/>
        <item x="411"/>
        <item x="256"/>
        <item x="143"/>
        <item x="350"/>
        <item x="465"/>
        <item x="198"/>
        <item x="458"/>
        <item x="681"/>
        <item x="289"/>
        <item x="641"/>
        <item x="640"/>
        <item x="512"/>
        <item x="432"/>
        <item x="33"/>
        <item x="765"/>
        <item x="78"/>
        <item x="413"/>
        <item x="675"/>
        <item x="761"/>
        <item x="576"/>
        <item x="190"/>
        <item x="361"/>
        <item x="62"/>
        <item x="221"/>
        <item x="211"/>
        <item x="378"/>
        <item x="408"/>
        <item x="403"/>
        <item x="714"/>
        <item x="785"/>
        <item x="337"/>
        <item x="203"/>
        <item x="142"/>
        <item x="647"/>
        <item x="433"/>
        <item x="341"/>
        <item x="716"/>
        <item x="676"/>
        <item x="393"/>
        <item x="589"/>
        <item x="101"/>
        <item x="618"/>
        <item x="434"/>
        <item x="778"/>
        <item x="199"/>
        <item x="185"/>
        <item x="638"/>
        <item x="629"/>
        <item x="383"/>
        <item x="174"/>
        <item x="376"/>
        <item x="635"/>
        <item x="155"/>
        <item x="775"/>
        <item x="734"/>
        <item x="771"/>
        <item x="781"/>
        <item x="554"/>
        <item x="106"/>
        <item x="663"/>
        <item x="283"/>
        <item x="223"/>
        <item x="79"/>
        <item x="125"/>
        <item x="402"/>
        <item x="698"/>
        <item x="637"/>
        <item x="763"/>
        <item x="691"/>
        <item x="459"/>
        <item x="501"/>
        <item x="750"/>
        <item x="151"/>
        <item x="497"/>
        <item x="261"/>
        <item x="325"/>
        <item x="710"/>
        <item x="390"/>
        <item x="484"/>
        <item x="40"/>
        <item x="573"/>
        <item x="709"/>
        <item x="406"/>
        <item x="705"/>
        <item x="690"/>
        <item x="374"/>
        <item x="749"/>
        <item x="473"/>
        <item x="112"/>
        <item x="130"/>
        <item x="246"/>
        <item x="439"/>
        <item x="631"/>
        <item x="739"/>
        <item x="551"/>
        <item x="725"/>
        <item x="217"/>
        <item x="310"/>
        <item x="507"/>
        <item x="135"/>
        <item x="787"/>
        <item x="526"/>
        <item x="302"/>
        <item x="139"/>
        <item x="111"/>
        <item x="319"/>
        <item x="237"/>
        <item x="245"/>
        <item x="204"/>
        <item x="596"/>
        <item x="703"/>
        <item x="81"/>
        <item x="715"/>
        <item x="206"/>
        <item x="257"/>
        <item x="669"/>
        <item x="91"/>
        <item x="693"/>
        <item x="657"/>
        <item x="421"/>
        <item x="7"/>
        <item x="16"/>
        <item x="317"/>
        <item x="786"/>
        <item x="772"/>
        <item x="679"/>
        <item x="299"/>
        <item x="801"/>
        <item x="281"/>
        <item x="18"/>
        <item x="508"/>
        <item x="177"/>
        <item x="632"/>
        <item x="364"/>
        <item x="695"/>
        <item x="800"/>
        <item x="225"/>
        <item x="103"/>
        <item x="343"/>
        <item x="384"/>
        <item x="597"/>
        <item x="359"/>
        <item x="251"/>
        <item x="368"/>
        <item x="286"/>
        <item x="626"/>
        <item x="147"/>
        <item x="492"/>
        <item x="735"/>
        <item x="372"/>
        <item x="399"/>
        <item x="183"/>
        <item x="491"/>
        <item x="610"/>
        <item x="14"/>
        <item x="517"/>
        <item x="9"/>
        <item x="97"/>
        <item x="557"/>
        <item x="480"/>
        <item x="730"/>
        <item x="354"/>
        <item x="769"/>
        <item x="479"/>
        <item x="366"/>
        <item x="309"/>
        <item x="235"/>
        <item x="521"/>
        <item x="98"/>
        <item x="56"/>
        <item x="426"/>
        <item x="277"/>
        <item x="578"/>
        <item x="0"/>
        <item x="82"/>
        <item x="39"/>
        <item x="88"/>
        <item x="523"/>
        <item x="556"/>
        <item x="593"/>
        <item x="123"/>
        <item x="494"/>
        <item x="232"/>
        <item x="154"/>
        <item x="591"/>
        <item x="407"/>
        <item x="37"/>
        <item x="298"/>
        <item x="662"/>
        <item x="435"/>
        <item x="346"/>
        <item x="148"/>
        <item x="132"/>
        <item x="409"/>
        <item x="145"/>
        <item x="603"/>
        <item x="207"/>
        <item x="329"/>
        <item x="152"/>
        <item x="328"/>
        <item x="420"/>
        <item x="29"/>
        <item x="506"/>
        <item x="746"/>
        <item x="723"/>
        <item x="193"/>
        <item x="696"/>
        <item x="607"/>
        <item x="77"/>
        <item x="2"/>
        <item x="339"/>
        <item x="542"/>
        <item x="470"/>
        <item x="752"/>
        <item x="324"/>
        <item x="630"/>
        <item x="505"/>
        <item x="677"/>
        <item x="687"/>
        <item x="672"/>
        <item x="485"/>
        <item x="566"/>
        <item x="427"/>
        <item x="673"/>
        <item x="84"/>
        <item x="358"/>
        <item x="303"/>
        <item x="441"/>
        <item x="792"/>
        <item x="534"/>
        <item x="116"/>
        <item x="72"/>
        <item x="728"/>
        <item x="36"/>
        <item x="278"/>
        <item x="141"/>
        <item x="222"/>
        <item x="773"/>
        <item x="440"/>
        <item x="1"/>
        <item x="447"/>
        <item x="648"/>
        <item x="140"/>
        <item x="340"/>
        <item x="628"/>
        <item x="100"/>
        <item x="162"/>
        <item x="528"/>
        <item x="418"/>
        <item x="380"/>
        <item x="184"/>
        <item x="592"/>
        <item x="69"/>
        <item x="70"/>
        <item x="195"/>
        <item x="76"/>
        <item x="308"/>
        <item x="167"/>
        <item x="558"/>
        <item x="670"/>
        <item x="263"/>
        <item x="674"/>
        <item x="191"/>
        <item x="694"/>
        <item x="170"/>
        <item x="510"/>
        <item x="423"/>
        <item x="294"/>
        <item x="233"/>
        <item x="581"/>
        <item x="279"/>
        <item x="215"/>
        <item x="80"/>
        <item x="311"/>
        <item x="456"/>
        <item x="35"/>
        <item x="284"/>
        <item x="66"/>
        <item x="156"/>
        <item x="12"/>
        <item x="13"/>
        <item x="612"/>
        <item x="422"/>
        <item x="639"/>
        <item x="624"/>
        <item x="598"/>
        <item x="115"/>
        <item x="790"/>
        <item x="288"/>
        <item x="604"/>
        <item x="477"/>
        <item x="650"/>
        <item x="726"/>
        <item x="269"/>
        <item x="131"/>
        <item x="464"/>
        <item x="444"/>
        <item x="15"/>
        <item x="164"/>
        <item x="502"/>
        <item x="545"/>
        <item x="682"/>
        <item x="535"/>
        <item x="740"/>
        <item x="489"/>
        <item x="348"/>
        <item x="405"/>
        <item x="401"/>
        <item x="87"/>
        <item x="719"/>
        <item x="747"/>
        <item x="239"/>
        <item x="680"/>
        <item x="429"/>
        <item x="416"/>
        <item x="388"/>
        <item x="176"/>
        <item x="476"/>
        <item x="570"/>
        <item x="192"/>
        <item x="50"/>
        <item x="305"/>
        <item x="758"/>
        <item x="394"/>
        <item x="249"/>
        <item x="322"/>
        <item x="541"/>
        <item x="349"/>
        <item x="606"/>
        <item x="437"/>
        <item x="602"/>
        <item x="794"/>
        <item x="43"/>
        <item x="382"/>
        <item x="293"/>
        <item x="737"/>
        <item x="414"/>
        <item x="161"/>
        <item x="85"/>
        <item x="438"/>
        <item x="46"/>
        <item x="748"/>
        <item x="653"/>
        <item x="617"/>
        <item x="362"/>
        <item x="493"/>
        <item x="181"/>
        <item x="527"/>
        <item x="530"/>
        <item x="555"/>
        <item x="188"/>
        <item x="95"/>
        <item x="137"/>
        <item x="61"/>
        <item x="22"/>
        <item x="197"/>
        <item x="345"/>
        <item x="11"/>
        <item x="474"/>
        <item x="219"/>
        <item x="31"/>
        <item x="572"/>
        <item x="768"/>
        <item x="96"/>
        <item x="562"/>
        <item x="228"/>
        <item x="226"/>
        <item x="10"/>
        <item x="584"/>
        <item x="255"/>
        <item x="708"/>
        <item x="107"/>
        <item x="336"/>
        <item x="247"/>
        <item x="780"/>
        <item x="600"/>
        <item x="533"/>
        <item x="692"/>
        <item x="453"/>
        <item x="377"/>
        <item x="150"/>
        <item x="425"/>
        <item x="369"/>
        <item x="250"/>
        <item x="654"/>
        <item x="64"/>
        <item x="153"/>
        <item x="238"/>
        <item x="538"/>
        <item x="706"/>
        <item x="244"/>
        <item x="327"/>
        <item x="560"/>
        <item x="54"/>
        <item x="707"/>
        <item x="146"/>
        <item x="122"/>
        <item x="175"/>
        <item x="774"/>
        <item x="587"/>
        <item x="704"/>
        <item x="756"/>
        <item x="333"/>
        <item x="451"/>
        <item x="567"/>
        <item x="58"/>
        <item x="757"/>
        <item x="751"/>
        <item x="643"/>
        <item x="547"/>
        <item x="634"/>
        <item x="114"/>
        <item x="21"/>
        <item x="71"/>
        <item x="738"/>
        <item x="347"/>
        <item x="301"/>
        <item x="30"/>
        <item x="134"/>
        <item x="481"/>
        <item x="371"/>
        <item x="110"/>
        <item x="711"/>
        <item x="230"/>
        <item x="265"/>
        <item x="713"/>
        <item x="172"/>
        <item x="149"/>
        <item x="92"/>
        <item x="689"/>
        <item x="312"/>
        <item x="642"/>
        <item x="89"/>
        <item x="594"/>
        <item x="280"/>
        <item x="314"/>
        <item x="623"/>
        <item x="387"/>
        <item x="783"/>
        <item x="525"/>
        <item x="202"/>
        <item x="248"/>
        <item x="736"/>
        <item x="524"/>
        <item x="186"/>
        <item x="365"/>
        <item x="697"/>
        <item x="189"/>
        <item x="355"/>
        <item x="793"/>
        <item x="128"/>
        <item x="266"/>
        <item x="762"/>
        <item x="475"/>
        <item x="397"/>
        <item x="270"/>
        <item x="442"/>
        <item x="537"/>
        <item x="63"/>
        <item x="463"/>
        <item x="472"/>
        <item x="353"/>
        <item x="509"/>
        <item x="764"/>
        <item x="120"/>
        <item x="105"/>
        <item x="702"/>
        <item x="243"/>
        <item x="685"/>
        <item x="53"/>
        <item x="178"/>
        <item x="320"/>
        <item x="789"/>
        <item x="664"/>
        <item x="133"/>
        <item x="649"/>
        <item x="500"/>
        <item x="144"/>
        <item x="252"/>
        <item x="83"/>
        <item x="218"/>
        <item x="583"/>
        <item x="755"/>
        <item x="173"/>
        <item x="652"/>
        <item x="351"/>
        <item x="48"/>
        <item x="254"/>
        <item x="47"/>
        <item x="242"/>
        <item x="398"/>
        <item x="770"/>
        <item x="563"/>
        <item x="767"/>
        <item x="306"/>
        <item x="550"/>
        <item x="660"/>
        <item x="363"/>
        <item x="292"/>
        <item x="553"/>
        <item x="282"/>
        <item x="86"/>
        <item x="766"/>
        <item x="483"/>
        <item x="118"/>
        <item x="224"/>
        <item x="727"/>
        <item x="104"/>
        <item x="621"/>
        <item x="68"/>
        <item x="182"/>
        <item x="34"/>
        <item x="375"/>
        <item x="121"/>
        <item x="633"/>
        <item x="158"/>
        <item x="108"/>
        <item x="430"/>
        <item x="543"/>
        <item x="99"/>
        <item x="718"/>
        <item x="396"/>
        <item x="450"/>
        <item x="659"/>
        <item x="285"/>
        <item x="796"/>
        <item x="529"/>
        <item x="717"/>
        <item x="745"/>
        <item x="443"/>
        <item x="791"/>
        <item x="784"/>
        <item x="391"/>
        <item x="733"/>
        <item x="564"/>
        <item x="699"/>
        <item x="236"/>
        <item x="619"/>
        <item x="227"/>
        <item x="4"/>
        <item x="471"/>
        <item x="262"/>
        <item x="428"/>
        <item x="17"/>
        <item x="490"/>
        <item x="240"/>
        <item x="658"/>
        <item x="276"/>
        <item x="74"/>
        <item x="417"/>
        <item x="569"/>
        <item x="344"/>
        <item x="20"/>
        <item x="26"/>
        <item x="651"/>
        <item x="585"/>
        <item x="109"/>
        <item x="499"/>
        <item x="194"/>
        <item x="94"/>
        <item x="586"/>
        <item x="90"/>
        <item x="797"/>
        <item x="335"/>
        <item x="531"/>
        <item x="180"/>
        <item x="272"/>
        <item x="381"/>
        <item x="316"/>
        <item x="27"/>
        <item x="776"/>
        <item x="795"/>
        <item x="754"/>
        <item x="392"/>
        <item x="436"/>
        <item x="52"/>
        <item x="779"/>
        <item x="296"/>
        <item x="469"/>
        <item x="760"/>
        <item x="412"/>
        <item x="271"/>
        <item x="5"/>
        <item x="126"/>
        <item x="129"/>
        <item x="93"/>
        <item x="352"/>
        <item x="645"/>
        <item x="514"/>
        <item x="684"/>
        <item x="332"/>
        <item x="546"/>
        <item x="615"/>
        <item x="666"/>
        <item x="59"/>
        <item x="724"/>
        <item x="732"/>
        <item x="307"/>
        <item x="655"/>
        <item x="742"/>
        <item x="216"/>
        <item x="504"/>
        <item x="38"/>
        <item x="60"/>
        <item x="400"/>
        <item x="461"/>
        <item x="201"/>
        <item x="488"/>
        <item x="8"/>
        <item x="457"/>
        <item x="667"/>
        <item x="275"/>
        <item x="605"/>
        <item x="683"/>
        <item x="212"/>
        <item x="636"/>
        <item x="73"/>
        <item x="601"/>
        <item x="449"/>
        <item x="568"/>
        <item x="51"/>
        <item x="627"/>
        <item x="454"/>
        <item x="124"/>
        <item x="385"/>
        <item x="495"/>
        <item x="57"/>
        <item x="41"/>
        <item x="326"/>
        <item x="487"/>
        <item x="127"/>
        <item x="214"/>
        <item x="595"/>
        <item x="136"/>
        <item x="321"/>
        <item x="565"/>
        <item x="291"/>
        <item x="210"/>
        <item x="561"/>
        <item x="241"/>
        <item x="580"/>
        <item x="42"/>
        <item x="264"/>
        <item x="315"/>
        <item x="482"/>
        <item x="32"/>
        <item x="138"/>
        <item x="478"/>
        <item x="608"/>
        <item x="753"/>
        <item x="700"/>
        <item x="273"/>
        <item x="518"/>
        <item x="613"/>
        <item x="498"/>
        <item x="55"/>
        <item x="200"/>
        <item x="455"/>
        <item x="788"/>
        <item x="671"/>
        <item x="536"/>
        <item x="331"/>
        <item x="3"/>
        <item x="360"/>
        <item x="258"/>
        <item x="782"/>
        <item x="209"/>
        <item x="102"/>
        <item x="729"/>
        <item x="313"/>
        <item x="731"/>
        <item x="75"/>
        <item x="419"/>
        <item x="467"/>
        <item x="179"/>
        <item x="799"/>
        <item x="777"/>
        <item x="446"/>
        <item x="379"/>
        <item x="744"/>
        <item x="166"/>
        <item x="452"/>
        <item x="389"/>
        <item x="370"/>
        <item x="575"/>
        <item x="590"/>
        <item x="165"/>
        <item x="330"/>
        <item x="701"/>
        <item x="759"/>
        <item x="522"/>
        <item x="665"/>
        <item x="540"/>
        <item x="798"/>
        <item x="448"/>
        <item x="25"/>
        <item x="367"/>
        <item x="231"/>
        <item x="260"/>
        <item x="323"/>
        <item x="519"/>
        <item x="253"/>
        <item x="588"/>
        <item x="357"/>
        <item x="318"/>
        <item x="290"/>
        <item x="712"/>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13">
        <item x="10"/>
        <item x="7"/>
        <item x="4"/>
        <item x="0"/>
        <item x="11"/>
        <item x="9"/>
        <item x="6"/>
        <item x="1"/>
        <item x="2"/>
        <item x="5"/>
        <item x="3"/>
        <item x="8"/>
        <item t="default"/>
      </items>
    </pivotField>
    <pivotField numFmtId="164" showAll="0"/>
    <pivotField showAll="0"/>
    <pivotField dataField="1" numFmtId="164" showAll="0"/>
  </pivotFields>
  <rowFields count="1">
    <field x="3"/>
  </rowFields>
  <rowItems count="802">
    <i>
      <x v="714"/>
    </i>
    <i>
      <x v="469"/>
    </i>
    <i>
      <x v="163"/>
    </i>
    <i>
      <x v="568"/>
    </i>
    <i>
      <x v="586"/>
    </i>
    <i>
      <x v="490"/>
    </i>
    <i>
      <x v="669"/>
    </i>
    <i>
      <x v="416"/>
    </i>
    <i>
      <x v="600"/>
    </i>
    <i>
      <x v="729"/>
    </i>
    <i>
      <x v="92"/>
    </i>
    <i>
      <x v="207"/>
    </i>
    <i>
      <x v="198"/>
    </i>
    <i>
      <x v="146"/>
    </i>
    <i>
      <x v="246"/>
    </i>
    <i>
      <x v="116"/>
    </i>
    <i>
      <x v="584"/>
    </i>
    <i>
      <x v="234"/>
    </i>
    <i>
      <x v="256"/>
    </i>
    <i>
      <x v="201"/>
    </i>
    <i>
      <x v="738"/>
    </i>
    <i>
      <x v="324"/>
    </i>
    <i>
      <x v="122"/>
    </i>
    <i>
      <x v="278"/>
    </i>
    <i>
      <x v="155"/>
    </i>
    <i>
      <x v="634"/>
    </i>
    <i>
      <x v="739"/>
    </i>
    <i>
      <x v="362"/>
    </i>
    <i>
      <x v="35"/>
    </i>
    <i>
      <x v="1"/>
    </i>
    <i>
      <x v="671"/>
    </i>
    <i>
      <x v="773"/>
    </i>
    <i>
      <x v="319"/>
    </i>
    <i>
      <x v="461"/>
    </i>
    <i>
      <x v="400"/>
    </i>
    <i>
      <x v="286"/>
    </i>
    <i>
      <x v="617"/>
    </i>
    <i>
      <x v="313"/>
    </i>
    <i>
      <x v="422"/>
    </i>
    <i>
      <x v="536"/>
    </i>
    <i>
      <x v="545"/>
    </i>
    <i>
      <x v="50"/>
    </i>
    <i>
      <x v="95"/>
    </i>
    <i>
      <x v="641"/>
    </i>
    <i>
      <x v="134"/>
    </i>
    <i>
      <x v="397"/>
    </i>
    <i>
      <x v="197"/>
    </i>
    <i>
      <x v="543"/>
    </i>
    <i>
      <x v="77"/>
    </i>
    <i>
      <x v="758"/>
    </i>
    <i>
      <x v="706"/>
    </i>
    <i>
      <x v="628"/>
    </i>
    <i>
      <x v="340"/>
    </i>
    <i>
      <x v="472"/>
    </i>
    <i>
      <x v="160"/>
    </i>
    <i>
      <x v="498"/>
    </i>
    <i>
      <x v="523"/>
    </i>
    <i>
      <x v="83"/>
    </i>
    <i>
      <x v="320"/>
    </i>
    <i>
      <x v="41"/>
    </i>
    <i>
      <x v="182"/>
    </i>
    <i>
      <x v="323"/>
    </i>
    <i>
      <x v="800"/>
    </i>
    <i>
      <x v="96"/>
    </i>
    <i>
      <x v="229"/>
    </i>
    <i>
      <x v="488"/>
    </i>
    <i>
      <x v="38"/>
    </i>
    <i>
      <x v="413"/>
    </i>
    <i>
      <x v="429"/>
    </i>
    <i>
      <x v="526"/>
    </i>
    <i>
      <x v="793"/>
    </i>
    <i>
      <x v="30"/>
    </i>
    <i>
      <x v="698"/>
    </i>
    <i>
      <x v="347"/>
    </i>
    <i>
      <x v="47"/>
    </i>
    <i>
      <x v="659"/>
    </i>
    <i>
      <x v="385"/>
    </i>
    <i>
      <x v="283"/>
    </i>
    <i>
      <x v="39"/>
    </i>
    <i>
      <x v="569"/>
    </i>
    <i>
      <x v="145"/>
    </i>
    <i>
      <x v="781"/>
    </i>
    <i>
      <x v="690"/>
    </i>
    <i>
      <x v="378"/>
    </i>
    <i>
      <x v="62"/>
    </i>
    <i>
      <x v="655"/>
    </i>
    <i>
      <x v="770"/>
    </i>
    <i>
      <x v="691"/>
    </i>
    <i>
      <x v="677"/>
    </i>
    <i>
      <x v="255"/>
    </i>
    <i>
      <x v="376"/>
    </i>
    <i>
      <x v="173"/>
    </i>
    <i>
      <x v="237"/>
    </i>
    <i>
      <x v="789"/>
    </i>
    <i>
      <x v="120"/>
    </i>
    <i>
      <x v="522"/>
    </i>
    <i>
      <x v="148"/>
    </i>
    <i>
      <x v="712"/>
    </i>
    <i>
      <x v="657"/>
    </i>
    <i>
      <x v="685"/>
    </i>
    <i>
      <x v="643"/>
    </i>
    <i>
      <x v="507"/>
    </i>
    <i>
      <x v="544"/>
    </i>
    <i>
      <x v="796"/>
    </i>
    <i>
      <x v="119"/>
    </i>
    <i>
      <x v="621"/>
    </i>
    <i>
      <x v="16"/>
    </i>
    <i>
      <x v="211"/>
    </i>
    <i>
      <x v="168"/>
    </i>
    <i>
      <x v="602"/>
    </i>
    <i>
      <x v="564"/>
    </i>
    <i>
      <x v="443"/>
    </i>
    <i>
      <x v="506"/>
    </i>
    <i>
      <x v="689"/>
    </i>
    <i>
      <x v="242"/>
    </i>
    <i>
      <x v="51"/>
    </i>
    <i>
      <x v="241"/>
    </i>
    <i>
      <x v="477"/>
    </i>
    <i>
      <x v="135"/>
    </i>
    <i>
      <x v="637"/>
    </i>
    <i>
      <x v="57"/>
    </i>
    <i>
      <x v="33"/>
    </i>
    <i>
      <x v="377"/>
    </i>
    <i>
      <x v="505"/>
    </i>
    <i>
      <x v="437"/>
    </i>
    <i>
      <x v="520"/>
    </i>
    <i>
      <x v="402"/>
    </i>
    <i>
      <x v="215"/>
    </i>
    <i>
      <x v="91"/>
    </i>
    <i>
      <x v="203"/>
    </i>
    <i>
      <x v="315"/>
    </i>
    <i>
      <x v="404"/>
    </i>
    <i>
      <x v="475"/>
    </i>
    <i>
      <x v="220"/>
    </i>
    <i>
      <x v="3"/>
    </i>
    <i>
      <x v="154"/>
    </i>
    <i>
      <x v="137"/>
    </i>
    <i>
      <x v="555"/>
    </i>
    <i>
      <x v="306"/>
    </i>
    <i>
      <x v="205"/>
    </i>
    <i>
      <x v="382"/>
    </i>
    <i>
      <x v="128"/>
    </i>
    <i>
      <x v="733"/>
    </i>
    <i>
      <x v="774"/>
    </i>
    <i>
      <x v="630"/>
    </i>
    <i>
      <x v="178"/>
    </i>
    <i>
      <x v="81"/>
    </i>
    <i>
      <x v="88"/>
    </i>
    <i>
      <x v="356"/>
    </i>
    <i>
      <x v="380"/>
    </i>
    <i>
      <x v="251"/>
    </i>
    <i>
      <x v="742"/>
    </i>
    <i>
      <x v="304"/>
    </i>
    <i>
      <x v="433"/>
    </i>
    <i>
      <x v="476"/>
    </i>
    <i>
      <x v="494"/>
    </i>
    <i>
      <x v="581"/>
    </i>
    <i>
      <x v="6"/>
    </i>
    <i>
      <x v="22"/>
    </i>
    <i>
      <x v="708"/>
    </i>
    <i>
      <x v="470"/>
    </i>
    <i>
      <x v="423"/>
    </i>
    <i>
      <x v="638"/>
    </i>
    <i>
      <x v="516"/>
    </i>
    <i>
      <x v="459"/>
    </i>
    <i>
      <x v="502"/>
    </i>
    <i>
      <x v="69"/>
    </i>
    <i>
      <x v="532"/>
    </i>
    <i>
      <x v="504"/>
    </i>
    <i>
      <x v="230"/>
    </i>
    <i>
      <x v="587"/>
    </i>
    <i>
      <x v="341"/>
    </i>
    <i>
      <x v="415"/>
    </i>
    <i>
      <x v="728"/>
    </i>
    <i>
      <x v="605"/>
    </i>
    <i>
      <x v="328"/>
    </i>
    <i>
      <x v="253"/>
    </i>
    <i>
      <x v="26"/>
    </i>
    <i>
      <x v="746"/>
    </i>
    <i>
      <x v="9"/>
    </i>
    <i>
      <x v="751"/>
    </i>
    <i>
      <x v="604"/>
    </i>
    <i>
      <x v="580"/>
    </i>
    <i>
      <x v="734"/>
    </i>
    <i>
      <x v="233"/>
    </i>
    <i>
      <x v="623"/>
    </i>
    <i>
      <x v="414"/>
    </i>
    <i>
      <x v="721"/>
    </i>
    <i>
      <x v="170"/>
    </i>
    <i>
      <x v="398"/>
    </i>
    <i>
      <x v="333"/>
    </i>
    <i>
      <x v="200"/>
    </i>
    <i>
      <x v="431"/>
    </i>
    <i>
      <x v="465"/>
    </i>
    <i>
      <x v="125"/>
    </i>
    <i>
      <x v="239"/>
    </i>
    <i>
      <x v="574"/>
    </i>
    <i>
      <x v="388"/>
    </i>
    <i>
      <x v="71"/>
    </i>
    <i>
      <x v="27"/>
    </i>
    <i>
      <x v="682"/>
    </i>
    <i>
      <x v="360"/>
    </i>
    <i>
      <x v="104"/>
    </i>
    <i>
      <x v="457"/>
    </i>
    <i>
      <x v="225"/>
    </i>
    <i>
      <x v="101"/>
    </i>
    <i>
      <x v="539"/>
    </i>
    <i>
      <x v="186"/>
    </i>
    <i>
      <x v="636"/>
    </i>
    <i>
      <x v="547"/>
    </i>
    <i>
      <x v="316"/>
    </i>
    <i>
      <x v="771"/>
    </i>
    <i>
      <x v="342"/>
    </i>
    <i>
      <x v="432"/>
    </i>
    <i>
      <x v="427"/>
    </i>
    <i>
      <x v="381"/>
    </i>
    <i>
      <x v="479"/>
    </i>
    <i>
      <x v="260"/>
    </i>
    <i>
      <x v="709"/>
    </i>
    <i>
      <x v="5"/>
    </i>
    <i>
      <x v="28"/>
    </i>
    <i>
      <x v="514"/>
    </i>
    <i>
      <x v="111"/>
    </i>
    <i>
      <x v="337"/>
    </i>
    <i>
      <x v="343"/>
    </i>
    <i>
      <x v="48"/>
    </i>
    <i>
      <x v="766"/>
    </i>
    <i>
      <x v="18"/>
    </i>
    <i>
      <x v="649"/>
    </i>
    <i>
      <x v="567"/>
    </i>
    <i>
      <x v="292"/>
    </i>
    <i>
      <x v="53"/>
    </i>
    <i>
      <x v="653"/>
    </i>
    <i>
      <x v="196"/>
    </i>
    <i>
      <x v="162"/>
    </i>
    <i>
      <x v="607"/>
    </i>
    <i>
      <x v="610"/>
    </i>
    <i>
      <x v="161"/>
    </i>
    <i>
      <x v="702"/>
    </i>
    <i>
      <x v="420"/>
    </i>
    <i>
      <x v="17"/>
    </i>
    <i>
      <x v="792"/>
    </i>
    <i>
      <x v="704"/>
    </i>
    <i>
      <x v="305"/>
    </i>
    <i>
      <x v="500"/>
    </i>
    <i>
      <x v="55"/>
    </i>
    <i>
      <x v="187"/>
    </i>
    <i>
      <x v="588"/>
    </i>
    <i>
      <x v="363"/>
    </i>
    <i>
      <x v="786"/>
    </i>
    <i>
      <x v="129"/>
    </i>
    <i>
      <x v="258"/>
    </i>
    <i>
      <x v="309"/>
    </i>
    <i>
      <x v="791"/>
    </i>
    <i>
      <x v="58"/>
    </i>
    <i>
      <x v="510"/>
    </i>
    <i>
      <x v="495"/>
    </i>
    <i>
      <x v="189"/>
    </i>
    <i>
      <x v="553"/>
    </i>
    <i>
      <x v="407"/>
    </i>
    <i>
      <x v="64"/>
    </i>
    <i>
      <x v="562"/>
    </i>
    <i>
      <x v="753"/>
    </i>
    <i>
      <x v="387"/>
    </i>
    <i>
      <x v="455"/>
    </i>
    <i>
      <x v="614"/>
    </i>
    <i>
      <x v="611"/>
    </i>
    <i>
      <x v="268"/>
    </i>
    <i>
      <x v="115"/>
    </i>
    <i>
      <x/>
    </i>
    <i>
      <x v="280"/>
    </i>
    <i>
      <x v="263"/>
    </i>
    <i>
      <x v="410"/>
    </i>
    <i>
      <x v="716"/>
    </i>
    <i>
      <x v="626"/>
    </i>
    <i>
      <x v="14"/>
    </i>
    <i>
      <x v="453"/>
    </i>
    <i>
      <x v="662"/>
    </i>
    <i>
      <x v="143"/>
    </i>
    <i>
      <x v="458"/>
    </i>
    <i>
      <x v="705"/>
    </i>
    <i>
      <x v="436"/>
    </i>
    <i>
      <x v="765"/>
    </i>
    <i>
      <x v="484"/>
    </i>
    <i>
      <x v="737"/>
    </i>
    <i>
      <x v="556"/>
    </i>
    <i>
      <x v="295"/>
    </i>
    <i>
      <x v="7"/>
    </i>
    <i>
      <x v="517"/>
    </i>
    <i>
      <x v="686"/>
    </i>
    <i>
      <x v="275"/>
    </i>
    <i>
      <x v="660"/>
    </i>
    <i>
      <x v="699"/>
    </i>
    <i>
      <x v="678"/>
    </i>
    <i>
      <x v="497"/>
    </i>
    <i>
      <x v="13"/>
    </i>
    <i>
      <x v="474"/>
    </i>
    <i>
      <x v="293"/>
    </i>
    <i>
      <x v="179"/>
    </i>
    <i>
      <x v="60"/>
    </i>
    <i>
      <x v="707"/>
    </i>
    <i>
      <x v="396"/>
    </i>
    <i>
      <x v="352"/>
    </i>
    <i>
      <x v="223"/>
    </i>
    <i>
      <x v="591"/>
    </i>
    <i>
      <x v="46"/>
    </i>
    <i>
      <x v="652"/>
    </i>
    <i>
      <x v="673"/>
    </i>
    <i>
      <x v="181"/>
    </i>
    <i>
      <x v="332"/>
    </i>
    <i>
      <x v="374"/>
    </i>
    <i>
      <x v="228"/>
    </i>
    <i>
      <x v="172"/>
    </i>
    <i>
      <x v="508"/>
    </i>
    <i>
      <x v="668"/>
    </i>
    <i>
      <x v="444"/>
    </i>
    <i>
      <x v="175"/>
    </i>
    <i>
      <x v="232"/>
    </i>
    <i>
      <x v="308"/>
    </i>
    <i>
      <x v="277"/>
    </i>
    <i>
      <x v="757"/>
    </i>
    <i>
      <x v="745"/>
    </i>
    <i>
      <x v="782"/>
    </i>
    <i>
      <x v="625"/>
    </i>
    <i>
      <x v="350"/>
    </i>
    <i>
      <x v="368"/>
    </i>
    <i>
      <x v="527"/>
    </i>
    <i>
      <x v="680"/>
    </i>
    <i>
      <x v="149"/>
    </i>
    <i>
      <x v="105"/>
    </i>
    <i>
      <x v="622"/>
    </i>
    <i>
      <x v="394"/>
    </i>
    <i>
      <x v="434"/>
    </i>
    <i>
      <x v="528"/>
    </i>
    <i>
      <x v="554"/>
    </i>
    <i>
      <x v="566"/>
    </i>
    <i>
      <x v="384"/>
    </i>
    <i>
      <x v="589"/>
    </i>
    <i>
      <x v="692"/>
    </i>
    <i>
      <x v="664"/>
    </i>
    <i>
      <x v="318"/>
    </i>
    <i>
      <x v="493"/>
    </i>
    <i>
      <x v="157"/>
    </i>
    <i>
      <x v="577"/>
    </i>
    <i>
      <x v="703"/>
    </i>
    <i>
      <x v="364"/>
    </i>
    <i>
      <x v="390"/>
    </i>
    <i>
      <x v="349"/>
    </i>
    <i>
      <x v="645"/>
    </i>
    <i>
      <x v="534"/>
    </i>
    <i>
      <x v="383"/>
    </i>
    <i>
      <x v="720"/>
    </i>
    <i>
      <x v="463"/>
    </i>
    <i>
      <x v="717"/>
    </i>
    <i>
      <x v="438"/>
    </i>
    <i>
      <x v="184"/>
    </i>
    <i>
      <x v="326"/>
    </i>
    <i>
      <x v="188"/>
    </i>
    <i>
      <x v="298"/>
    </i>
    <i>
      <x v="452"/>
    </i>
    <i>
      <x v="616"/>
    </i>
    <i>
      <x v="631"/>
    </i>
    <i>
      <x v="262"/>
    </i>
    <i>
      <x v="372"/>
    </i>
    <i>
      <x v="133"/>
    </i>
    <i>
      <x v="503"/>
    </i>
    <i>
      <x v="252"/>
    </i>
    <i>
      <x v="418"/>
    </i>
    <i>
      <x v="439"/>
    </i>
    <i>
      <x v="399"/>
    </i>
    <i>
      <x v="417"/>
    </i>
    <i>
      <x v="679"/>
    </i>
    <i>
      <x v="249"/>
    </i>
    <i>
      <x v="598"/>
    </i>
    <i>
      <x v="219"/>
    </i>
    <i>
      <x v="480"/>
    </i>
    <i>
      <x v="550"/>
    </i>
    <i>
      <x v="599"/>
    </i>
    <i>
      <x v="658"/>
    </i>
    <i>
      <x v="353"/>
    </i>
    <i>
      <x v="644"/>
    </i>
    <i>
      <x v="426"/>
    </i>
    <i>
      <x v="592"/>
    </i>
    <i>
      <x v="171"/>
    </i>
    <i>
      <x v="483"/>
    </i>
    <i>
      <x v="52"/>
    </i>
    <i>
      <x v="724"/>
    </i>
    <i>
      <x v="540"/>
    </i>
    <i>
      <x v="366"/>
    </i>
    <i>
      <x v="74"/>
    </i>
    <i>
      <x v="302"/>
    </i>
    <i>
      <x v="121"/>
    </i>
    <i>
      <x v="557"/>
    </i>
    <i>
      <x v="560"/>
    </i>
    <i>
      <x v="454"/>
    </i>
    <i>
      <x v="558"/>
    </i>
    <i>
      <x v="67"/>
    </i>
    <i>
      <x v="231"/>
    </i>
    <i>
      <x v="140"/>
    </i>
    <i>
      <x v="183"/>
    </i>
    <i>
      <x v="563"/>
    </i>
    <i>
      <x v="755"/>
    </i>
    <i>
      <x v="317"/>
    </i>
    <i>
      <x v="176"/>
    </i>
    <i>
      <x v="80"/>
    </i>
    <i>
      <x v="620"/>
    </i>
    <i>
      <x v="576"/>
    </i>
    <i>
      <x v="190"/>
    </i>
    <i>
      <x v="151"/>
    </i>
    <i>
      <x v="759"/>
    </i>
    <i>
      <x v="153"/>
    </i>
    <i>
      <x v="20"/>
    </i>
    <i>
      <x v="24"/>
    </i>
    <i>
      <x v="301"/>
    </i>
    <i>
      <x v="578"/>
    </i>
    <i>
      <x v="209"/>
    </i>
    <i>
      <x v="530"/>
    </i>
    <i>
      <x v="348"/>
    </i>
    <i>
      <x v="114"/>
    </i>
    <i>
      <x v="430"/>
    </i>
    <i>
      <x v="661"/>
    </i>
    <i>
      <x v="287"/>
    </i>
    <i>
      <x v="90"/>
    </i>
    <i>
      <x v="56"/>
    </i>
    <i>
      <x v="281"/>
    </i>
    <i>
      <x v="10"/>
    </i>
    <i>
      <x v="42"/>
    </i>
    <i>
      <x v="139"/>
    </i>
    <i>
      <x v="147"/>
    </i>
    <i>
      <x v="639"/>
    </i>
    <i>
      <x v="165"/>
    </i>
    <i>
      <x v="795"/>
    </i>
    <i>
      <x v="535"/>
    </i>
    <i>
      <x v="375"/>
    </i>
    <i>
      <x v="59"/>
    </i>
    <i>
      <x v="288"/>
    </i>
    <i>
      <x v="284"/>
    </i>
    <i>
      <x v="290"/>
    </i>
    <i>
      <x v="779"/>
    </i>
    <i>
      <x v="37"/>
    </i>
    <i>
      <x v="78"/>
    </i>
    <i>
      <x v="448"/>
    </i>
    <i>
      <x v="266"/>
    </i>
    <i>
      <x v="213"/>
    </i>
    <i>
      <x v="76"/>
    </i>
    <i>
      <x v="683"/>
    </i>
    <i>
      <x v="780"/>
    </i>
    <i>
      <x v="694"/>
    </i>
    <i>
      <x v="491"/>
    </i>
    <i>
      <x v="123"/>
    </i>
    <i>
      <x v="250"/>
    </i>
    <i>
      <x v="688"/>
    </i>
    <i>
      <x v="355"/>
    </i>
    <i>
      <x v="763"/>
    </i>
    <i>
      <x v="107"/>
    </i>
    <i>
      <x v="481"/>
    </i>
    <i>
      <x v="596"/>
    </i>
    <i>
      <x v="409"/>
    </i>
    <i>
      <x v="411"/>
    </i>
    <i>
      <x v="273"/>
    </i>
    <i>
      <x v="254"/>
    </i>
    <i>
      <x v="224"/>
    </i>
    <i>
      <x v="23"/>
    </i>
    <i>
      <x v="651"/>
    </i>
    <i>
      <x v="102"/>
    </i>
    <i>
      <x v="227"/>
    </i>
    <i>
      <x v="373"/>
    </i>
    <i>
      <x v="467"/>
    </i>
    <i>
      <x v="244"/>
    </i>
    <i>
      <x v="684"/>
    </i>
    <i>
      <x v="635"/>
    </i>
    <i>
      <x v="565"/>
    </i>
    <i>
      <x v="512"/>
    </i>
    <i>
      <x v="462"/>
    </i>
    <i>
      <x v="606"/>
    </i>
    <i>
      <x v="460"/>
    </i>
    <i>
      <x v="392"/>
    </i>
    <i>
      <x v="174"/>
    </i>
    <i>
      <x v="710"/>
    </i>
    <i>
      <x v="257"/>
    </i>
    <i>
      <x v="546"/>
    </i>
    <i>
      <x v="12"/>
    </i>
    <i>
      <x v="612"/>
    </i>
    <i>
      <x v="797"/>
    </i>
    <i>
      <x v="346"/>
    </i>
    <i>
      <x v="214"/>
    </i>
    <i>
      <x v="583"/>
    </i>
    <i>
      <x v="594"/>
    </i>
    <i>
      <x v="270"/>
    </i>
    <i>
      <x v="110"/>
    </i>
    <i>
      <x v="525"/>
    </i>
    <i>
      <x v="794"/>
    </i>
    <i>
      <x v="109"/>
    </i>
    <i>
      <x v="609"/>
    </i>
    <i>
      <x v="601"/>
    </i>
    <i>
      <x v="511"/>
    </i>
    <i>
      <x v="787"/>
    </i>
    <i>
      <x v="573"/>
    </i>
    <i>
      <x v="752"/>
    </i>
    <i>
      <x v="265"/>
    </i>
    <i>
      <x v="478"/>
    </i>
    <i>
      <x v="86"/>
    </i>
    <i>
      <x v="681"/>
    </i>
    <i>
      <x v="624"/>
    </i>
    <i>
      <x v="675"/>
    </i>
    <i>
      <x v="559"/>
    </i>
    <i>
      <x v="289"/>
    </i>
    <i>
      <x v="267"/>
    </i>
    <i>
      <x v="726"/>
    </i>
    <i>
      <x v="468"/>
    </i>
    <i>
      <x v="118"/>
    </i>
    <i>
      <x v="138"/>
    </i>
    <i>
      <x v="192"/>
    </i>
    <i>
      <x v="245"/>
    </i>
    <i>
      <x v="44"/>
    </i>
    <i>
      <x v="389"/>
    </i>
    <i>
      <x v="464"/>
    </i>
    <i>
      <x v="150"/>
    </i>
    <i>
      <x v="379"/>
    </i>
    <i>
      <x v="310"/>
    </i>
    <i>
      <x v="451"/>
    </i>
    <i>
      <x v="718"/>
    </i>
    <i>
      <x v="321"/>
    </i>
    <i>
      <x v="393"/>
    </i>
    <i>
      <x v="291"/>
    </i>
    <i>
      <x v="725"/>
    </i>
    <i>
      <x v="240"/>
    </i>
    <i>
      <x v="768"/>
    </i>
    <i>
      <x v="391"/>
    </i>
    <i>
      <x v="529"/>
    </i>
    <i>
      <x v="783"/>
    </i>
    <i>
      <x v="113"/>
    </i>
    <i>
      <x v="73"/>
    </i>
    <i>
      <x v="199"/>
    </i>
    <i>
      <x v="570"/>
    </i>
    <i>
      <x v="424"/>
    </i>
    <i>
      <x v="435"/>
    </i>
    <i>
      <x v="307"/>
    </i>
    <i>
      <x v="300"/>
    </i>
    <i>
      <x v="344"/>
    </i>
    <i>
      <x v="486"/>
    </i>
    <i>
      <x v="94"/>
    </i>
    <i>
      <x v="542"/>
    </i>
    <i>
      <x v="593"/>
    </i>
    <i>
      <x v="571"/>
    </i>
    <i>
      <x v="799"/>
    </i>
    <i>
      <x v="446"/>
    </i>
    <i>
      <x v="131"/>
    </i>
    <i>
      <x v="29"/>
    </i>
    <i>
      <x v="441"/>
    </i>
    <i>
      <x v="32"/>
    </i>
    <i>
      <x v="537"/>
    </i>
    <i>
      <x v="45"/>
    </i>
    <i>
      <x v="405"/>
    </i>
    <i>
      <x v="345"/>
    </i>
    <i>
      <x v="180"/>
    </i>
    <i>
      <x v="785"/>
    </i>
    <i>
      <x v="87"/>
    </i>
    <i>
      <x v="4"/>
    </i>
    <i>
      <x v="549"/>
    </i>
    <i>
      <x v="666"/>
    </i>
    <i>
      <x v="492"/>
    </i>
    <i>
      <x v="696"/>
    </i>
    <i>
      <x v="327"/>
    </i>
    <i>
      <x v="63"/>
    </i>
    <i>
      <x v="648"/>
    </i>
    <i>
      <x v="772"/>
    </i>
    <i>
      <x v="202"/>
    </i>
    <i>
      <x v="590"/>
    </i>
    <i>
      <x v="471"/>
    </i>
    <i>
      <x v="141"/>
    </i>
    <i>
      <x v="473"/>
    </i>
    <i>
      <x v="136"/>
    </i>
    <i>
      <x v="575"/>
    </i>
    <i>
      <x v="501"/>
    </i>
    <i>
      <x v="667"/>
    </i>
    <i>
      <x v="238"/>
    </i>
    <i>
      <x v="640"/>
    </i>
    <i>
      <x v="449"/>
    </i>
    <i>
      <x v="31"/>
    </i>
    <i>
      <x v="43"/>
    </i>
    <i>
      <x v="8"/>
    </i>
    <i>
      <x v="687"/>
    </i>
    <i>
      <x v="124"/>
    </i>
    <i>
      <x v="100"/>
    </i>
    <i>
      <x v="740"/>
    </i>
    <i>
      <x v="761"/>
    </i>
    <i>
      <x v="442"/>
    </i>
    <i>
      <x v="676"/>
    </i>
    <i>
      <x v="261"/>
    </i>
    <i>
      <x v="642"/>
    </i>
    <i>
      <x v="767"/>
    </i>
    <i>
      <x v="647"/>
    </i>
    <i>
      <x v="297"/>
    </i>
    <i>
      <x v="633"/>
    </i>
    <i>
      <x v="279"/>
    </i>
    <i>
      <x v="329"/>
    </i>
    <i>
      <x v="412"/>
    </i>
    <i>
      <x v="485"/>
    </i>
    <i>
      <x v="221"/>
    </i>
    <i>
      <x v="236"/>
    </i>
    <i>
      <x v="97"/>
    </i>
    <i>
      <x v="482"/>
    </i>
    <i>
      <x v="790"/>
    </i>
    <i>
      <x v="561"/>
    </i>
    <i>
      <x v="524"/>
    </i>
    <i>
      <x v="98"/>
    </i>
    <i>
      <x v="276"/>
    </i>
    <i>
      <x v="296"/>
    </i>
    <i>
      <x v="603"/>
    </i>
    <i>
      <x v="2"/>
    </i>
    <i>
      <x v="582"/>
    </i>
    <i>
      <x v="361"/>
    </i>
    <i>
      <x v="70"/>
    </i>
    <i>
      <x v="727"/>
    </i>
    <i>
      <x v="747"/>
    </i>
    <i>
      <x v="597"/>
    </i>
    <i>
      <x v="693"/>
    </i>
    <i>
      <x v="159"/>
    </i>
    <i>
      <x v="715"/>
    </i>
    <i>
      <x v="322"/>
    </i>
    <i>
      <x v="108"/>
    </i>
    <i>
      <x v="357"/>
    </i>
    <i>
      <x v="191"/>
    </i>
    <i>
      <x v="408"/>
    </i>
    <i>
      <x v="217"/>
    </i>
    <i>
      <x v="428"/>
    </i>
    <i>
      <x v="103"/>
    </i>
    <i>
      <x v="112"/>
    </i>
    <i>
      <x v="665"/>
    </i>
    <i>
      <x v="195"/>
    </i>
    <i>
      <x v="650"/>
    </i>
    <i>
      <x v="243"/>
    </i>
    <i>
      <x v="519"/>
    </i>
    <i>
      <x v="367"/>
    </i>
    <i>
      <x v="75"/>
    </i>
    <i>
      <x v="167"/>
    </i>
    <i>
      <x v="66"/>
    </i>
    <i>
      <x v="760"/>
    </i>
    <i>
      <x v="259"/>
    </i>
    <i>
      <x v="49"/>
    </i>
    <i>
      <x v="608"/>
    </i>
    <i>
      <x v="177"/>
    </i>
    <i>
      <x v="194"/>
    </i>
    <i>
      <x v="445"/>
    </i>
    <i>
      <x v="25"/>
    </i>
    <i>
      <x v="336"/>
    </i>
    <i>
      <x v="299"/>
    </i>
    <i>
      <x v="282"/>
    </i>
    <i>
      <x v="615"/>
    </i>
    <i>
      <x v="788"/>
    </i>
    <i>
      <x v="312"/>
    </i>
    <i>
      <x v="731"/>
    </i>
    <i>
      <x v="421"/>
    </i>
    <i>
      <x v="371"/>
    </i>
    <i>
      <x v="401"/>
    </i>
    <i>
      <x v="272"/>
    </i>
    <i>
      <x v="248"/>
    </i>
    <i>
      <x v="419"/>
    </i>
    <i>
      <x v="334"/>
    </i>
    <i>
      <x v="730"/>
    </i>
    <i>
      <x v="769"/>
    </i>
    <i>
      <x v="204"/>
    </i>
    <i>
      <x v="99"/>
    </i>
    <i>
      <x v="531"/>
    </i>
    <i>
      <x v="208"/>
    </i>
    <i>
      <x v="533"/>
    </i>
    <i>
      <x v="629"/>
    </i>
    <i>
      <x v="395"/>
    </i>
    <i>
      <x v="579"/>
    </i>
    <i>
      <x v="358"/>
    </i>
    <i>
      <x v="36"/>
    </i>
    <i>
      <x v="798"/>
    </i>
    <i>
      <x v="784"/>
    </i>
    <i>
      <x v="700"/>
    </i>
    <i>
      <x v="285"/>
    </i>
    <i>
      <x v="235"/>
    </i>
    <i>
      <x v="749"/>
    </i>
    <i>
      <x v="595"/>
    </i>
    <i>
      <x v="732"/>
    </i>
    <i>
      <x v="801"/>
    </i>
    <i>
      <x v="466"/>
    </i>
    <i>
      <x v="314"/>
    </i>
    <i>
      <x v="406"/>
    </i>
    <i>
      <x v="735"/>
    </i>
    <i>
      <x v="713"/>
    </i>
    <i>
      <x v="722"/>
    </i>
    <i>
      <x v="654"/>
    </i>
    <i>
      <x v="764"/>
    </i>
    <i>
      <x v="166"/>
    </i>
    <i>
      <x v="40"/>
    </i>
    <i>
      <x v="158"/>
    </i>
    <i>
      <x v="338"/>
    </i>
    <i>
      <x v="142"/>
    </i>
    <i>
      <x v="723"/>
    </i>
    <i>
      <x v="585"/>
    </i>
    <i>
      <x v="303"/>
    </i>
    <i>
      <x v="489"/>
    </i>
    <i>
      <x v="269"/>
    </i>
    <i>
      <x v="515"/>
    </i>
    <i>
      <x v="61"/>
    </i>
    <i>
      <x v="11"/>
    </i>
    <i>
      <x v="335"/>
    </i>
    <i>
      <x v="247"/>
    </i>
    <i>
      <x v="736"/>
    </i>
    <i>
      <x v="126"/>
    </i>
    <i>
      <x v="130"/>
    </i>
    <i>
      <x v="741"/>
    </i>
    <i>
      <x v="538"/>
    </i>
    <i>
      <x v="632"/>
    </i>
    <i>
      <x v="218"/>
    </i>
    <i>
      <x v="226"/>
    </i>
    <i>
      <x v="331"/>
    </i>
    <i>
      <x v="513"/>
    </i>
    <i>
      <x v="117"/>
    </i>
    <i>
      <x v="776"/>
    </i>
    <i>
      <x v="72"/>
    </i>
    <i>
      <x v="619"/>
    </i>
    <i>
      <x v="274"/>
    </i>
    <i>
      <x v="499"/>
    </i>
    <i>
      <x v="646"/>
    </i>
    <i>
      <x v="548"/>
    </i>
    <i>
      <x v="185"/>
    </i>
    <i>
      <x v="127"/>
    </i>
    <i>
      <x v="777"/>
    </i>
    <i>
      <x v="618"/>
    </i>
    <i>
      <x v="521"/>
    </i>
    <i>
      <x v="106"/>
    </i>
    <i>
      <x v="144"/>
    </i>
    <i>
      <x v="325"/>
    </i>
    <i>
      <x v="84"/>
    </i>
    <i>
      <x v="271"/>
    </i>
    <i>
      <x v="762"/>
    </i>
    <i>
      <x v="339"/>
    </i>
    <i>
      <x v="21"/>
    </i>
    <i>
      <x v="754"/>
    </i>
    <i>
      <x v="216"/>
    </i>
    <i>
      <x v="89"/>
    </i>
    <i>
      <x v="169"/>
    </i>
    <i>
      <x v="15"/>
    </i>
    <i>
      <x v="370"/>
    </i>
    <i>
      <x v="164"/>
    </i>
    <i>
      <x v="541"/>
    </i>
    <i>
      <x v="425"/>
    </i>
    <i>
      <x v="697"/>
    </i>
    <i>
      <x v="743"/>
    </i>
    <i>
      <x v="674"/>
    </i>
    <i>
      <x v="19"/>
    </i>
    <i>
      <x v="440"/>
    </i>
    <i>
      <x v="403"/>
    </i>
    <i>
      <x v="85"/>
    </i>
    <i>
      <x v="264"/>
    </i>
    <i>
      <x v="294"/>
    </i>
    <i>
      <x v="744"/>
    </i>
    <i>
      <x v="351"/>
    </i>
    <i>
      <x v="193"/>
    </i>
    <i>
      <x v="354"/>
    </i>
    <i>
      <x v="156"/>
    </i>
    <i>
      <x v="695"/>
    </i>
    <i>
      <x v="68"/>
    </i>
    <i>
      <x v="656"/>
    </i>
    <i>
      <x v="701"/>
    </i>
    <i>
      <x v="613"/>
    </i>
    <i>
      <x v="359"/>
    </i>
    <i>
      <x v="34"/>
    </i>
    <i>
      <x v="711"/>
    </i>
    <i>
      <x v="627"/>
    </i>
    <i>
      <x v="330"/>
    </i>
    <i>
      <x v="756"/>
    </i>
    <i>
      <x v="450"/>
    </i>
    <i>
      <x v="93"/>
    </i>
    <i>
      <x v="719"/>
    </i>
    <i>
      <x v="65"/>
    </i>
    <i>
      <x v="206"/>
    </i>
    <i>
      <x v="509"/>
    </i>
    <i>
      <x v="82"/>
    </i>
    <i>
      <x v="456"/>
    </i>
    <i>
      <x v="79"/>
    </i>
    <i>
      <x v="132"/>
    </i>
    <i>
      <x v="750"/>
    </i>
    <i>
      <x v="552"/>
    </i>
    <i>
      <x v="496"/>
    </i>
    <i>
      <x v="572"/>
    </i>
    <i>
      <x v="369"/>
    </i>
    <i>
      <x v="447"/>
    </i>
    <i>
      <x v="311"/>
    </i>
    <i>
      <x v="54"/>
    </i>
    <i>
      <x v="386"/>
    </i>
    <i>
      <x v="152"/>
    </i>
    <i>
      <x v="672"/>
    </i>
    <i>
      <x v="778"/>
    </i>
    <i>
      <x v="748"/>
    </i>
    <i>
      <x v="487"/>
    </i>
    <i>
      <x v="210"/>
    </i>
    <i>
      <x v="518"/>
    </i>
    <i>
      <x v="212"/>
    </i>
    <i>
      <x v="670"/>
    </i>
    <i>
      <x v="222"/>
    </i>
    <i>
      <x v="551"/>
    </i>
    <i>
      <x v="365"/>
    </i>
    <i>
      <x v="775"/>
    </i>
    <i>
      <x v="663"/>
    </i>
  </rowItems>
  <colItems count="1">
    <i/>
  </colItems>
  <dataFields count="1">
    <dataField name="Sum of Profi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30100F-3DFB-4522-A010-0FBC4ECE66F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G3:H15" firstHeaderRow="1" firstDataRow="1" firstDataCol="1"/>
  <pivotFields count="10">
    <pivotField numFmtId="14" showAll="0"/>
    <pivotField numFmtId="1" showAll="0">
      <items count="7">
        <item x="0"/>
        <item x="1"/>
        <item x="2"/>
        <item x="3"/>
        <item x="4"/>
        <item x="5"/>
        <item t="default"/>
      </items>
    </pivotField>
    <pivotField axis="axisRow" numFmtId="1" showAll="0">
      <items count="13">
        <item x="10"/>
        <item x="11"/>
        <item x="0"/>
        <item x="1"/>
        <item x="2"/>
        <item x="3"/>
        <item x="4"/>
        <item x="5"/>
        <item x="6"/>
        <item x="7"/>
        <item x="8"/>
        <item x="9"/>
        <item t="default"/>
      </items>
    </pivotField>
    <pivotField showAll="0"/>
    <pivotField showAll="0"/>
    <pivotField showAll="0">
      <items count="4">
        <item x="0"/>
        <item x="2"/>
        <item x="1"/>
        <item t="default"/>
      </items>
    </pivotField>
    <pivotField showAll="0" sortType="descending">
      <items count="13">
        <item x="10"/>
        <item x="7"/>
        <item x="4"/>
        <item x="0"/>
        <item x="11"/>
        <item x="9"/>
        <item x="6"/>
        <item x="1"/>
        <item x="2"/>
        <item x="5"/>
        <item x="3"/>
        <item x="8"/>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164" showAll="0"/>
  </pivotFields>
  <rowFields count="1">
    <field x="2"/>
  </rowFields>
  <rowItems count="12">
    <i>
      <x/>
    </i>
    <i>
      <x v="1"/>
    </i>
    <i>
      <x v="2"/>
    </i>
    <i>
      <x v="3"/>
    </i>
    <i>
      <x v="4"/>
    </i>
    <i>
      <x v="5"/>
    </i>
    <i>
      <x v="6"/>
    </i>
    <i>
      <x v="7"/>
    </i>
    <i>
      <x v="8"/>
    </i>
    <i>
      <x v="9"/>
    </i>
    <i>
      <x v="10"/>
    </i>
    <i>
      <x v="11"/>
    </i>
  </rowItems>
  <colItems count="1">
    <i/>
  </colItems>
  <dataFields count="1">
    <dataField name="Sum of Sales" fld="7" baseField="0" baseItem="0" numFmtId="164"/>
  </dataField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A75699-4B49-44CA-AE20-96E257F5847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18:D25" firstHeaderRow="1" firstDataRow="2" firstDataCol="1"/>
  <pivotFields count="10">
    <pivotField numFmtId="14" showAll="0"/>
    <pivotField axis="axisRow" numFmtId="1" showAll="0">
      <items count="7">
        <item x="0"/>
        <item x="1"/>
        <item x="2"/>
        <item x="3"/>
        <item x="4"/>
        <item x="5"/>
        <item t="default"/>
      </items>
    </pivotField>
    <pivotField numFmtId="1" showAll="0"/>
    <pivotField showAll="0"/>
    <pivotField showAll="0"/>
    <pivotField axis="axisCol" showAll="0">
      <items count="4">
        <item x="0"/>
        <item x="2"/>
        <item x="1"/>
        <item t="default"/>
      </items>
    </pivotField>
    <pivotField showAll="0">
      <items count="13">
        <item x="10"/>
        <item x="7"/>
        <item x="4"/>
        <item x="0"/>
        <item x="11"/>
        <item x="9"/>
        <item x="6"/>
        <item x="1"/>
        <item x="2"/>
        <item x="5"/>
        <item x="3"/>
        <item x="8"/>
        <item t="default"/>
      </items>
    </pivotField>
    <pivotField numFmtId="164" showAll="0"/>
    <pivotField showAll="0"/>
    <pivotField dataField="1" numFmtId="164" showAll="0"/>
  </pivotFields>
  <rowFields count="1">
    <field x="1"/>
  </rowFields>
  <rowItems count="6">
    <i>
      <x/>
    </i>
    <i>
      <x v="1"/>
    </i>
    <i>
      <x v="2"/>
    </i>
    <i>
      <x v="3"/>
    </i>
    <i>
      <x v="4"/>
    </i>
    <i>
      <x v="5"/>
    </i>
  </rowItems>
  <colFields count="1">
    <field x="5"/>
  </colFields>
  <colItems count="3">
    <i>
      <x/>
    </i>
    <i>
      <x v="1"/>
    </i>
    <i>
      <x v="2"/>
    </i>
  </colItems>
  <dataFields count="1">
    <dataField name="Sum of Profit" fld="9" baseField="0" baseItem="0" numFmtId="164"/>
  </dataFields>
  <chartFormats count="7">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6" format="12" series="1">
      <pivotArea type="data" outline="0" fieldPosition="0">
        <references count="2">
          <reference field="4294967294" count="1" selected="0">
            <x v="0"/>
          </reference>
          <reference field="5" count="1" selected="0">
            <x v="0"/>
          </reference>
        </references>
      </pivotArea>
    </chartFormat>
    <chartFormat chart="6" format="13" series="1">
      <pivotArea type="data" outline="0" fieldPosition="0">
        <references count="2">
          <reference field="4294967294" count="1" selected="0">
            <x v="0"/>
          </reference>
          <reference field="5" count="1" selected="0">
            <x v="1"/>
          </reference>
        </references>
      </pivotArea>
    </chartFormat>
    <chartFormat chart="6" format="14" series="1">
      <pivotArea type="data" outline="0" fieldPosition="0">
        <references count="2">
          <reference field="4294967294" count="1" selected="0">
            <x v="0"/>
          </reference>
          <reference field="5" count="1" selected="0">
            <x v="2"/>
          </reference>
        </references>
      </pivotArea>
    </chartFormat>
    <chartFormat chart="6"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6EC180-7EE7-49FF-9355-7A894E1CB5F2}"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0">
    <pivotField numFmtId="14" showAll="0"/>
    <pivotField numFmtId="1" showAll="0">
      <items count="7">
        <item x="0"/>
        <item x="1"/>
        <item x="2"/>
        <item x="3"/>
        <item x="4"/>
        <item x="5"/>
        <item t="default"/>
      </items>
    </pivotField>
    <pivotField numFmtId="1" showAll="0"/>
    <pivotField showAll="0"/>
    <pivotField showAll="0"/>
    <pivotField showAll="0">
      <items count="4">
        <item x="0"/>
        <item x="2"/>
        <item x="1"/>
        <item t="default"/>
      </items>
    </pivotField>
    <pivotField axis="axisRow" showAll="0" sortType="descending">
      <items count="13">
        <item x="10"/>
        <item x="7"/>
        <item x="4"/>
        <item x="0"/>
        <item x="11"/>
        <item x="9"/>
        <item x="6"/>
        <item x="1"/>
        <item x="2"/>
        <item x="5"/>
        <item x="3"/>
        <item x="8"/>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164" showAll="0"/>
  </pivotFields>
  <rowFields count="1">
    <field x="6"/>
  </rowFields>
  <rowItems count="13">
    <i>
      <x v="5"/>
    </i>
    <i>
      <x v="11"/>
    </i>
    <i>
      <x v="10"/>
    </i>
    <i>
      <x v="9"/>
    </i>
    <i>
      <x v="3"/>
    </i>
    <i>
      <x v="7"/>
    </i>
    <i>
      <x v="6"/>
    </i>
    <i>
      <x v="8"/>
    </i>
    <i>
      <x v="2"/>
    </i>
    <i>
      <x v="4"/>
    </i>
    <i>
      <x v="1"/>
    </i>
    <i>
      <x/>
    </i>
    <i t="grand">
      <x/>
    </i>
  </rowItems>
  <colItems count="1">
    <i/>
  </colItems>
  <dataFields count="1">
    <dataField name="Sum of Sales"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24BA12-BDBF-4D0A-943B-8316C61D1315}"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D3:E7"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Name" fld="1" subtotal="count" baseField="0" baseItem="0"/>
  </dataField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2AB2FF-1035-45D9-A077-C24BE98DEB0F}" sourceName="Year ">
  <pivotTables>
    <pivotTable tabId="4" name="PivotTable6"/>
    <pivotTable tabId="4" name="PivotTable9"/>
    <pivotTable tabId="4" name="PivotTable5"/>
    <pivotTable tabId="4" name="PivotTable7"/>
    <pivotTable tabId="4" name="SALES BY CATEGORY"/>
  </pivotTables>
  <data>
    <tabular pivotCacheId="208445288">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966D9A-C9C7-450D-BC31-52894F01858B}" sourceName="Category">
  <pivotTables>
    <pivotTable tabId="4" name="PivotTable5"/>
    <pivotTable tabId="4" name="PivotTable6"/>
    <pivotTable tabId="4" name="PivotTable7"/>
    <pivotTable tabId="4" name="PivotTable9"/>
    <pivotTable tabId="4" name="SALES BY CATEGORY"/>
  </pivotTables>
  <data>
    <tabular pivotCacheId="20844528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xr10:uid="{64A695C2-5B20-40BF-9E36-E722DD719A9F}" cache="Slicer_Year" caption="Year " columnCount="3" style="2 2" rowHeight="251883"/>
  <slicer name="Category" xr10:uid="{D862F43C-4704-47DF-8E8A-D979FF787EAC}" cache="Slicer_Category" caption="Category" columnCount="2" style="2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9CB0E9-3D01-45AC-88BF-B9C876D2759F}" name="Sales_Dataset" displayName="Sales_Dataset" ref="A1:J1195" totalsRowShown="0">
  <autoFilter ref="A1:J1195" xr:uid="{989CB0E9-3D01-45AC-88BF-B9C876D2759F}"/>
  <sortState xmlns:xlrd2="http://schemas.microsoft.com/office/spreadsheetml/2017/richdata2" ref="A2:J1195">
    <sortCondition ref="A1:A1195"/>
  </sortState>
  <tableColumns count="10">
    <tableColumn id="1" xr3:uid="{1ECF4860-2B84-4591-BD3D-7CD444FFEE97}" name="Order Date" dataDxfId="8"/>
    <tableColumn id="11" xr3:uid="{3333406A-0B1D-44F0-B107-9EA5EDD63A4F}" name="Year " dataDxfId="7">
      <calculatedColumnFormula>YEAR(Sales_Dataset[[#This Row],[Order Date]])</calculatedColumnFormula>
    </tableColumn>
    <tableColumn id="12" xr3:uid="{F3F4BFE3-191C-467B-88B9-818E34ECB047}" name="Month" dataDxfId="6">
      <calculatedColumnFormula>MONTH(Sales_Dataset[[#This Row],[Order Date]])</calculatedColumnFormula>
    </tableColumn>
    <tableColumn id="2" xr3:uid="{7F1EF546-8FC4-416F-A5FB-1EACACA9E110}" name="CustomerName" dataDxfId="5"/>
    <tableColumn id="3" xr3:uid="{44F3731D-EEE9-45D7-A400-E7AA2CE7F111}" name="State" dataDxfId="4"/>
    <tableColumn id="4" xr3:uid="{09AC9E7A-91EB-4357-B409-F8A0A39311AF}" name="Category" dataDxfId="3"/>
    <tableColumn id="5" xr3:uid="{AAC6D288-E503-4A2A-A3C2-A842BF590364}" name="Sub-Category" dataDxfId="2"/>
    <tableColumn id="6" xr3:uid="{B52DA1B9-DA49-401F-AD51-35D3ADAAF04B}" name="Sales" dataDxfId="1" dataCellStyle="Comma"/>
    <tableColumn id="7" xr3:uid="{4AE72701-60C7-407C-AD03-67F075BDB099}" name="Quantity"/>
    <tableColumn id="8" xr3:uid="{BA319AEB-7232-4EFE-A5ED-98106E97D580}" name="Profit" dataDxfId="0" dataCellStyle="Comma"/>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020521-5190-432D-8A2B-C59804DD16E4}" name="CustomerCount" displayName="CustomerCount" ref="A1:B1195" totalsRowShown="0">
  <autoFilter ref="A1:B1195" xr:uid="{64020521-5190-432D-8A2B-C59804DD16E4}"/>
  <tableColumns count="2">
    <tableColumn id="1" xr3:uid="{7C5019B7-756E-4726-8700-71AC778F437D}" name="Year "/>
    <tableColumn id="2" xr3:uid="{C3E12E72-1A46-4863-8800-F4C9527E7930}" name="Customer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1407A-3A8A-45A1-A114-9747F08CB2AF}">
  <dimension ref="A3:N805"/>
  <sheetViews>
    <sheetView topLeftCell="A24" workbookViewId="0">
      <selection activeCell="Q54" sqref="Q54"/>
    </sheetView>
  </sheetViews>
  <sheetFormatPr defaultRowHeight="14.5" x14ac:dyDescent="0.35"/>
  <cols>
    <col min="1" max="1" width="15.1796875" bestFit="1" customWidth="1"/>
    <col min="2" max="2" width="11.54296875" bestFit="1" customWidth="1"/>
    <col min="3" max="3" width="8.6328125" bestFit="1" customWidth="1"/>
    <col min="4" max="4" width="13.7265625" bestFit="1" customWidth="1"/>
    <col min="5" max="5" width="10.36328125" bestFit="1" customWidth="1"/>
    <col min="7" max="7" width="12.453125" bestFit="1" customWidth="1"/>
    <col min="8" max="8" width="11.54296875" bestFit="1" customWidth="1"/>
    <col min="10" max="10" width="21.08984375" bestFit="1" customWidth="1"/>
    <col min="11" max="11" width="11.54296875" bestFit="1" customWidth="1"/>
    <col min="13" max="13" width="17.1796875" customWidth="1"/>
  </cols>
  <sheetData>
    <row r="3" spans="1:14" x14ac:dyDescent="0.35">
      <c r="A3" s="3" t="s">
        <v>833</v>
      </c>
      <c r="B3" t="s">
        <v>835</v>
      </c>
      <c r="G3" s="3" t="s">
        <v>833</v>
      </c>
      <c r="H3" t="s">
        <v>835</v>
      </c>
      <c r="J3" s="3" t="s">
        <v>833</v>
      </c>
      <c r="K3" t="s">
        <v>836</v>
      </c>
    </row>
    <row r="4" spans="1:14" x14ac:dyDescent="0.35">
      <c r="A4" s="4" t="s">
        <v>30</v>
      </c>
      <c r="B4" s="6">
        <v>627875</v>
      </c>
      <c r="D4" t="str">
        <f>A4</f>
        <v>Markers</v>
      </c>
      <c r="E4" s="6">
        <f>B4</f>
        <v>627875</v>
      </c>
      <c r="G4" s="7">
        <v>1</v>
      </c>
      <c r="H4" s="6">
        <v>392678</v>
      </c>
      <c r="J4" s="4" t="s">
        <v>582</v>
      </c>
      <c r="K4" s="6">
        <v>8840</v>
      </c>
      <c r="M4" t="str">
        <f>J4</f>
        <v>Stephanie Manning</v>
      </c>
      <c r="N4" s="6">
        <f>K4</f>
        <v>8840</v>
      </c>
    </row>
    <row r="5" spans="1:14" x14ac:dyDescent="0.35">
      <c r="A5" s="4" t="s">
        <v>25</v>
      </c>
      <c r="B5" s="6">
        <v>625177</v>
      </c>
      <c r="D5" t="str">
        <f t="shared" ref="D5:D15" si="0">A5</f>
        <v>Tables</v>
      </c>
      <c r="E5" s="6">
        <f t="shared" ref="E5:E15" si="1">B5</f>
        <v>625177</v>
      </c>
      <c r="G5" s="7">
        <v>2</v>
      </c>
      <c r="H5" s="6">
        <v>450672</v>
      </c>
      <c r="J5" s="4" t="s">
        <v>583</v>
      </c>
      <c r="K5" s="6">
        <v>8840</v>
      </c>
      <c r="M5" t="str">
        <f t="shared" ref="M5:M8" si="2">J5</f>
        <v>Logan Galloway</v>
      </c>
      <c r="N5" s="6">
        <f t="shared" ref="N5:N8" si="3">K5</f>
        <v>8840</v>
      </c>
    </row>
    <row r="6" spans="1:14" x14ac:dyDescent="0.35">
      <c r="A6" s="4" t="s">
        <v>31</v>
      </c>
      <c r="B6" s="6">
        <v>568367</v>
      </c>
      <c r="D6" t="str">
        <f t="shared" si="0"/>
        <v>Sofas</v>
      </c>
      <c r="E6" s="6">
        <f t="shared" si="1"/>
        <v>568367</v>
      </c>
      <c r="G6" s="7">
        <v>3</v>
      </c>
      <c r="H6" s="6">
        <v>497247</v>
      </c>
      <c r="J6" s="4" t="s">
        <v>229</v>
      </c>
      <c r="K6" s="6">
        <v>7790</v>
      </c>
      <c r="M6" t="str">
        <f t="shared" si="2"/>
        <v>Cory Evans</v>
      </c>
      <c r="N6" s="6">
        <f t="shared" si="3"/>
        <v>7790</v>
      </c>
    </row>
    <row r="7" spans="1:14" x14ac:dyDescent="0.35">
      <c r="A7" s="4" t="s">
        <v>16</v>
      </c>
      <c r="B7" s="6">
        <v>566359</v>
      </c>
      <c r="D7" t="str">
        <f t="shared" si="0"/>
        <v>Printers</v>
      </c>
      <c r="E7" s="6">
        <f t="shared" si="1"/>
        <v>566359</v>
      </c>
      <c r="G7" s="7">
        <v>4</v>
      </c>
      <c r="H7" s="6">
        <v>567882</v>
      </c>
      <c r="J7" s="4" t="s">
        <v>514</v>
      </c>
      <c r="K7" s="6">
        <v>7275</v>
      </c>
      <c r="M7" t="str">
        <f t="shared" si="2"/>
        <v>Mr. Ralph Garcia Jr.</v>
      </c>
      <c r="N7" s="6">
        <f t="shared" si="3"/>
        <v>7275</v>
      </c>
    </row>
    <row r="8" spans="1:14" x14ac:dyDescent="0.35">
      <c r="A8" s="4" t="s">
        <v>11</v>
      </c>
      <c r="B8" s="6">
        <v>565092</v>
      </c>
      <c r="D8" t="str">
        <f t="shared" si="0"/>
        <v>Electronic Games</v>
      </c>
      <c r="E8" s="6">
        <f t="shared" si="1"/>
        <v>565092</v>
      </c>
      <c r="G8" s="7">
        <v>5</v>
      </c>
      <c r="H8" s="6">
        <v>581943</v>
      </c>
      <c r="J8" s="4" t="s">
        <v>150</v>
      </c>
      <c r="K8" s="6">
        <v>7198</v>
      </c>
      <c r="M8" t="str">
        <f t="shared" si="2"/>
        <v>Nicholas Johnson</v>
      </c>
      <c r="N8" s="6">
        <f t="shared" si="3"/>
        <v>7198</v>
      </c>
    </row>
    <row r="9" spans="1:14" x14ac:dyDescent="0.35">
      <c r="A9" s="4" t="s">
        <v>19</v>
      </c>
      <c r="B9" s="6">
        <v>552269</v>
      </c>
      <c r="D9" t="str">
        <f t="shared" si="0"/>
        <v>Pens</v>
      </c>
      <c r="E9" s="6">
        <f t="shared" si="1"/>
        <v>552269</v>
      </c>
      <c r="G9" s="7">
        <v>6</v>
      </c>
      <c r="H9" s="6">
        <v>529028</v>
      </c>
      <c r="J9" s="4" t="s">
        <v>149</v>
      </c>
      <c r="K9" s="6">
        <v>7198</v>
      </c>
    </row>
    <row r="10" spans="1:14" x14ac:dyDescent="0.35">
      <c r="A10" s="4" t="s">
        <v>33</v>
      </c>
      <c r="B10" s="6">
        <v>524755</v>
      </c>
      <c r="D10" t="str">
        <f t="shared" si="0"/>
        <v>Paper</v>
      </c>
      <c r="E10" s="6">
        <f t="shared" si="1"/>
        <v>524755</v>
      </c>
      <c r="G10" s="7">
        <v>7</v>
      </c>
      <c r="H10" s="6">
        <v>497410</v>
      </c>
      <c r="J10" s="4" t="s">
        <v>432</v>
      </c>
      <c r="K10" s="6">
        <v>7166</v>
      </c>
    </row>
    <row r="11" spans="1:14" x14ac:dyDescent="0.35">
      <c r="A11" s="4" t="s">
        <v>41</v>
      </c>
      <c r="B11" s="6">
        <v>503055</v>
      </c>
      <c r="D11" t="str">
        <f t="shared" si="0"/>
        <v>Phones</v>
      </c>
      <c r="E11" s="6">
        <f t="shared" si="1"/>
        <v>503055</v>
      </c>
      <c r="G11" s="7">
        <v>8</v>
      </c>
      <c r="H11" s="6">
        <v>517830</v>
      </c>
      <c r="J11" s="4" t="s">
        <v>431</v>
      </c>
      <c r="K11" s="6">
        <v>7166</v>
      </c>
    </row>
    <row r="12" spans="1:14" x14ac:dyDescent="0.35">
      <c r="A12" s="4" t="s">
        <v>27</v>
      </c>
      <c r="B12" s="6">
        <v>431964</v>
      </c>
      <c r="D12" t="str">
        <f t="shared" si="0"/>
        <v>Chairs</v>
      </c>
      <c r="E12" s="6">
        <f t="shared" si="1"/>
        <v>431964</v>
      </c>
      <c r="G12" s="7">
        <v>9</v>
      </c>
      <c r="H12" s="6">
        <v>408236</v>
      </c>
      <c r="J12" s="4" t="s">
        <v>96</v>
      </c>
      <c r="K12" s="6">
        <v>7116</v>
      </c>
    </row>
    <row r="13" spans="1:14" x14ac:dyDescent="0.35">
      <c r="A13" s="4" t="s">
        <v>23</v>
      </c>
      <c r="B13" s="6">
        <v>419950</v>
      </c>
      <c r="D13" t="str">
        <f t="shared" si="0"/>
        <v>Laptops</v>
      </c>
      <c r="E13" s="6">
        <f t="shared" si="1"/>
        <v>419950</v>
      </c>
      <c r="G13" s="7">
        <v>10</v>
      </c>
      <c r="H13" s="6">
        <v>632521</v>
      </c>
      <c r="J13" s="4" t="s">
        <v>97</v>
      </c>
      <c r="K13" s="6">
        <v>7116</v>
      </c>
    </row>
    <row r="14" spans="1:14" x14ac:dyDescent="0.35">
      <c r="A14" s="4" t="s">
        <v>51</v>
      </c>
      <c r="B14" s="6">
        <v>413165</v>
      </c>
      <c r="D14" t="str">
        <f>A14</f>
        <v>Bookcases</v>
      </c>
      <c r="E14" s="6">
        <f t="shared" si="1"/>
        <v>413165</v>
      </c>
      <c r="G14" s="7">
        <v>11</v>
      </c>
      <c r="H14" s="6">
        <v>451814</v>
      </c>
      <c r="J14" s="4" t="s">
        <v>98</v>
      </c>
      <c r="K14" s="6">
        <v>7116</v>
      </c>
    </row>
    <row r="15" spans="1:14" x14ac:dyDescent="0.35">
      <c r="A15" s="4" t="s">
        <v>39</v>
      </c>
      <c r="B15" s="6">
        <v>384611</v>
      </c>
      <c r="D15" t="str">
        <f t="shared" si="0"/>
        <v>Binders</v>
      </c>
      <c r="E15" s="6">
        <f t="shared" si="1"/>
        <v>384611</v>
      </c>
      <c r="G15" s="7">
        <v>12</v>
      </c>
      <c r="H15" s="6">
        <v>655378</v>
      </c>
      <c r="J15" s="4" t="s">
        <v>53</v>
      </c>
      <c r="K15" s="6">
        <v>7046</v>
      </c>
    </row>
    <row r="16" spans="1:14" x14ac:dyDescent="0.35">
      <c r="A16" s="4" t="s">
        <v>834</v>
      </c>
      <c r="B16" s="6">
        <v>6182639</v>
      </c>
      <c r="J16" s="4" t="s">
        <v>151</v>
      </c>
      <c r="K16" s="6">
        <v>7029</v>
      </c>
    </row>
    <row r="17" spans="1:11" x14ac:dyDescent="0.35">
      <c r="J17" s="4" t="s">
        <v>207</v>
      </c>
      <c r="K17" s="6">
        <v>6987</v>
      </c>
    </row>
    <row r="18" spans="1:11" x14ac:dyDescent="0.35">
      <c r="A18" s="3" t="s">
        <v>836</v>
      </c>
      <c r="B18" s="3" t="s">
        <v>837</v>
      </c>
      <c r="J18" s="4" t="s">
        <v>208</v>
      </c>
      <c r="K18" s="6">
        <v>6987</v>
      </c>
    </row>
    <row r="19" spans="1:11" x14ac:dyDescent="0.35">
      <c r="A19" s="3" t="s">
        <v>833</v>
      </c>
      <c r="B19" t="s">
        <v>10</v>
      </c>
      <c r="C19" t="s">
        <v>24</v>
      </c>
      <c r="D19" t="s">
        <v>18</v>
      </c>
      <c r="J19" s="4" t="s">
        <v>461</v>
      </c>
      <c r="K19" s="6">
        <v>6927</v>
      </c>
    </row>
    <row r="20" spans="1:11" x14ac:dyDescent="0.35">
      <c r="A20" s="7">
        <v>2020</v>
      </c>
      <c r="B20" s="6">
        <v>47437</v>
      </c>
      <c r="C20" s="6">
        <v>83024</v>
      </c>
      <c r="D20" s="6">
        <v>93642</v>
      </c>
      <c r="J20" s="4" t="s">
        <v>114</v>
      </c>
      <c r="K20" s="6">
        <v>6848</v>
      </c>
    </row>
    <row r="21" spans="1:11" x14ac:dyDescent="0.35">
      <c r="A21" s="7">
        <v>2021</v>
      </c>
      <c r="B21" s="6">
        <v>98670</v>
      </c>
      <c r="C21" s="6">
        <v>89480</v>
      </c>
      <c r="D21" s="6">
        <v>95081</v>
      </c>
      <c r="J21" s="4" t="s">
        <v>115</v>
      </c>
      <c r="K21" s="6">
        <v>6848</v>
      </c>
    </row>
    <row r="22" spans="1:11" x14ac:dyDescent="0.35">
      <c r="A22" s="7">
        <v>2022</v>
      </c>
      <c r="B22" s="6">
        <v>117381</v>
      </c>
      <c r="C22" s="6">
        <v>138788</v>
      </c>
      <c r="D22" s="6">
        <v>136944</v>
      </c>
      <c r="J22" s="4" t="s">
        <v>113</v>
      </c>
      <c r="K22" s="6">
        <v>6848</v>
      </c>
    </row>
    <row r="23" spans="1:11" x14ac:dyDescent="0.35">
      <c r="A23" s="7">
        <v>2023</v>
      </c>
      <c r="B23" s="6">
        <v>141682</v>
      </c>
      <c r="C23" s="6">
        <v>100947</v>
      </c>
      <c r="D23" s="6">
        <v>79042</v>
      </c>
      <c r="J23" s="4" t="s">
        <v>375</v>
      </c>
      <c r="K23" s="6">
        <v>6603</v>
      </c>
    </row>
    <row r="24" spans="1:11" x14ac:dyDescent="0.35">
      <c r="A24" s="7">
        <v>2024</v>
      </c>
      <c r="B24" s="6">
        <v>82112</v>
      </c>
      <c r="C24" s="6">
        <v>114013</v>
      </c>
      <c r="D24" s="6">
        <v>112211</v>
      </c>
      <c r="J24" s="4" t="s">
        <v>159</v>
      </c>
      <c r="K24" s="6">
        <v>6599</v>
      </c>
    </row>
    <row r="25" spans="1:11" x14ac:dyDescent="0.35">
      <c r="A25" s="7">
        <v>2025</v>
      </c>
      <c r="B25" s="6">
        <v>31298</v>
      </c>
      <c r="C25" s="6">
        <v>14290</v>
      </c>
      <c r="D25" s="6">
        <v>34655</v>
      </c>
      <c r="J25" s="4" t="s">
        <v>160</v>
      </c>
      <c r="K25" s="6">
        <v>6599</v>
      </c>
    </row>
    <row r="26" spans="1:11" x14ac:dyDescent="0.35">
      <c r="J26" s="4" t="s">
        <v>161</v>
      </c>
      <c r="K26" s="6">
        <v>6599</v>
      </c>
    </row>
    <row r="27" spans="1:11" x14ac:dyDescent="0.35">
      <c r="A27" s="3" t="s">
        <v>833</v>
      </c>
      <c r="B27" t="s">
        <v>835</v>
      </c>
      <c r="J27" s="4" t="s">
        <v>44</v>
      </c>
      <c r="K27" s="6">
        <v>6535</v>
      </c>
    </row>
    <row r="28" spans="1:11" x14ac:dyDescent="0.35">
      <c r="A28" s="4" t="s">
        <v>22</v>
      </c>
      <c r="B28" s="6">
        <v>1086436</v>
      </c>
      <c r="C28" t="str">
        <f>A28</f>
        <v>California</v>
      </c>
      <c r="D28" s="6">
        <f>B28</f>
        <v>1086436</v>
      </c>
      <c r="J28" s="4" t="s">
        <v>465</v>
      </c>
      <c r="K28" s="6">
        <v>6529</v>
      </c>
    </row>
    <row r="29" spans="1:11" x14ac:dyDescent="0.35">
      <c r="A29" s="4" t="s">
        <v>9</v>
      </c>
      <c r="B29" s="6">
        <v>1091174</v>
      </c>
      <c r="C29" t="str">
        <f t="shared" ref="C29:C33" si="4">A29</f>
        <v>Florida</v>
      </c>
      <c r="D29" s="6">
        <f t="shared" ref="D29:D33" si="5">B29</f>
        <v>1091174</v>
      </c>
      <c r="J29" s="4" t="s">
        <v>286</v>
      </c>
      <c r="K29" s="6">
        <v>6514</v>
      </c>
    </row>
    <row r="30" spans="1:11" x14ac:dyDescent="0.35">
      <c r="A30" s="4" t="s">
        <v>13</v>
      </c>
      <c r="B30" s="6">
        <v>978738</v>
      </c>
      <c r="C30" t="str">
        <f t="shared" si="4"/>
        <v>Illinois</v>
      </c>
      <c r="D30" s="6">
        <f t="shared" si="5"/>
        <v>978738</v>
      </c>
      <c r="J30" s="4" t="s">
        <v>184</v>
      </c>
      <c r="K30" s="6">
        <v>6388</v>
      </c>
    </row>
    <row r="31" spans="1:11" x14ac:dyDescent="0.35">
      <c r="A31" s="4" t="s">
        <v>15</v>
      </c>
      <c r="B31" s="6">
        <v>1130048</v>
      </c>
      <c r="C31" t="str">
        <f t="shared" si="4"/>
        <v>New York</v>
      </c>
      <c r="D31" s="6">
        <f t="shared" si="5"/>
        <v>1130048</v>
      </c>
      <c r="J31" s="4" t="s">
        <v>616</v>
      </c>
      <c r="K31" s="6">
        <v>6386</v>
      </c>
    </row>
    <row r="32" spans="1:11" x14ac:dyDescent="0.35">
      <c r="A32" s="4" t="s">
        <v>47</v>
      </c>
      <c r="B32" s="6">
        <v>884768</v>
      </c>
      <c r="C32" t="str">
        <f t="shared" si="4"/>
        <v>Ohio</v>
      </c>
      <c r="D32" s="6">
        <f t="shared" si="5"/>
        <v>884768</v>
      </c>
      <c r="J32" s="4" t="s">
        <v>70</v>
      </c>
      <c r="K32" s="6">
        <v>6345</v>
      </c>
    </row>
    <row r="33" spans="1:11" x14ac:dyDescent="0.35">
      <c r="A33" s="4" t="s">
        <v>36</v>
      </c>
      <c r="B33" s="6">
        <v>1011475</v>
      </c>
      <c r="C33" t="str">
        <f t="shared" si="4"/>
        <v>Texas</v>
      </c>
      <c r="D33" s="6">
        <f t="shared" si="5"/>
        <v>1011475</v>
      </c>
      <c r="J33" s="4" t="s">
        <v>447</v>
      </c>
      <c r="K33" s="6">
        <v>6161</v>
      </c>
    </row>
    <row r="34" spans="1:11" x14ac:dyDescent="0.35">
      <c r="J34" s="4" t="s">
        <v>273</v>
      </c>
      <c r="K34" s="6">
        <v>6067</v>
      </c>
    </row>
    <row r="35" spans="1:11" x14ac:dyDescent="0.35">
      <c r="J35" s="4" t="s">
        <v>128</v>
      </c>
      <c r="K35" s="6">
        <v>5997</v>
      </c>
    </row>
    <row r="36" spans="1:11" x14ac:dyDescent="0.35">
      <c r="J36" s="4" t="s">
        <v>127</v>
      </c>
      <c r="K36" s="6">
        <v>5997</v>
      </c>
    </row>
    <row r="37" spans="1:11" x14ac:dyDescent="0.35">
      <c r="J37" s="4" t="s">
        <v>129</v>
      </c>
      <c r="K37" s="6">
        <v>5997</v>
      </c>
    </row>
    <row r="38" spans="1:11" x14ac:dyDescent="0.35">
      <c r="J38" s="4" t="s">
        <v>228</v>
      </c>
      <c r="K38" s="6">
        <v>5972</v>
      </c>
    </row>
    <row r="39" spans="1:11" x14ac:dyDescent="0.35">
      <c r="J39" s="4" t="s">
        <v>155</v>
      </c>
      <c r="K39" s="6">
        <v>5886</v>
      </c>
    </row>
    <row r="40" spans="1:11" x14ac:dyDescent="0.35">
      <c r="J40" s="4" t="s">
        <v>325</v>
      </c>
      <c r="K40" s="6">
        <v>5858</v>
      </c>
    </row>
    <row r="41" spans="1:11" x14ac:dyDescent="0.35">
      <c r="J41" s="4" t="s">
        <v>278</v>
      </c>
      <c r="K41" s="6">
        <v>5787</v>
      </c>
    </row>
    <row r="42" spans="1:11" x14ac:dyDescent="0.35">
      <c r="J42" s="4" t="s">
        <v>526</v>
      </c>
      <c r="K42" s="6">
        <v>5698</v>
      </c>
    </row>
    <row r="43" spans="1:11" x14ac:dyDescent="0.35">
      <c r="J43" s="4" t="s">
        <v>103</v>
      </c>
      <c r="K43" s="6">
        <v>5601</v>
      </c>
    </row>
    <row r="44" spans="1:11" x14ac:dyDescent="0.35">
      <c r="J44" s="4" t="s">
        <v>226</v>
      </c>
      <c r="K44" s="6">
        <v>5595</v>
      </c>
    </row>
    <row r="45" spans="1:11" x14ac:dyDescent="0.35">
      <c r="J45" s="4" t="s">
        <v>225</v>
      </c>
      <c r="K45" s="6">
        <v>5595</v>
      </c>
    </row>
    <row r="46" spans="1:11" x14ac:dyDescent="0.35">
      <c r="J46" s="4" t="s">
        <v>224</v>
      </c>
      <c r="K46" s="6">
        <v>5595</v>
      </c>
    </row>
    <row r="47" spans="1:11" x14ac:dyDescent="0.35">
      <c r="J47" s="4" t="s">
        <v>571</v>
      </c>
      <c r="K47" s="6">
        <v>5583</v>
      </c>
    </row>
    <row r="48" spans="1:11" x14ac:dyDescent="0.35">
      <c r="J48" s="4" t="s">
        <v>570</v>
      </c>
      <c r="K48" s="6">
        <v>5583</v>
      </c>
    </row>
    <row r="49" spans="10:11" x14ac:dyDescent="0.35">
      <c r="J49" s="4" t="s">
        <v>82</v>
      </c>
      <c r="K49" s="6">
        <v>5432</v>
      </c>
    </row>
    <row r="50" spans="10:11" x14ac:dyDescent="0.35">
      <c r="J50" s="4" t="s">
        <v>63</v>
      </c>
      <c r="K50" s="6">
        <v>5355</v>
      </c>
    </row>
    <row r="51" spans="10:11" x14ac:dyDescent="0.35">
      <c r="J51" s="4" t="s">
        <v>277</v>
      </c>
      <c r="K51" s="6">
        <v>5334</v>
      </c>
    </row>
    <row r="52" spans="10:11" x14ac:dyDescent="0.35">
      <c r="J52" s="4" t="s">
        <v>276</v>
      </c>
      <c r="K52" s="6">
        <v>5334</v>
      </c>
    </row>
    <row r="53" spans="10:11" x14ac:dyDescent="0.35">
      <c r="J53" s="4" t="s">
        <v>279</v>
      </c>
      <c r="K53" s="6">
        <v>5176</v>
      </c>
    </row>
    <row r="54" spans="10:11" x14ac:dyDescent="0.35">
      <c r="J54" s="4" t="s">
        <v>274</v>
      </c>
      <c r="K54" s="6">
        <v>5162</v>
      </c>
    </row>
    <row r="55" spans="10:11" x14ac:dyDescent="0.35">
      <c r="J55" s="4" t="s">
        <v>311</v>
      </c>
      <c r="K55" s="6">
        <v>5068</v>
      </c>
    </row>
    <row r="56" spans="10:11" x14ac:dyDescent="0.35">
      <c r="J56" s="4" t="s">
        <v>310</v>
      </c>
      <c r="K56" s="6">
        <v>5068</v>
      </c>
    </row>
    <row r="57" spans="10:11" x14ac:dyDescent="0.35">
      <c r="J57" s="4" t="s">
        <v>309</v>
      </c>
      <c r="K57" s="6">
        <v>5068</v>
      </c>
    </row>
    <row r="58" spans="10:11" x14ac:dyDescent="0.35">
      <c r="J58" s="4" t="s">
        <v>312</v>
      </c>
      <c r="K58" s="6">
        <v>5068</v>
      </c>
    </row>
    <row r="59" spans="10:11" x14ac:dyDescent="0.35">
      <c r="J59" s="4" t="s">
        <v>361</v>
      </c>
      <c r="K59" s="6">
        <v>5064</v>
      </c>
    </row>
    <row r="60" spans="10:11" x14ac:dyDescent="0.35">
      <c r="J60" s="4" t="s">
        <v>243</v>
      </c>
      <c r="K60" s="6">
        <v>4944</v>
      </c>
    </row>
    <row r="61" spans="10:11" x14ac:dyDescent="0.35">
      <c r="J61" s="4" t="s">
        <v>537</v>
      </c>
      <c r="K61" s="6">
        <v>4930</v>
      </c>
    </row>
    <row r="62" spans="10:11" x14ac:dyDescent="0.35">
      <c r="J62" s="4" t="s">
        <v>632</v>
      </c>
      <c r="K62" s="6">
        <v>4812</v>
      </c>
    </row>
    <row r="63" spans="10:11" x14ac:dyDescent="0.35">
      <c r="J63" s="4" t="s">
        <v>633</v>
      </c>
      <c r="K63" s="6">
        <v>4812</v>
      </c>
    </row>
    <row r="64" spans="10:11" x14ac:dyDescent="0.35">
      <c r="J64" s="4" t="s">
        <v>419</v>
      </c>
      <c r="K64" s="6">
        <v>4710</v>
      </c>
    </row>
    <row r="65" spans="10:11" x14ac:dyDescent="0.35">
      <c r="J65" s="4" t="s">
        <v>478</v>
      </c>
      <c r="K65" s="6">
        <v>4639</v>
      </c>
    </row>
    <row r="66" spans="10:11" x14ac:dyDescent="0.35">
      <c r="J66" s="4" t="s">
        <v>87</v>
      </c>
      <c r="K66" s="6">
        <v>4623</v>
      </c>
    </row>
    <row r="67" spans="10:11" x14ac:dyDescent="0.35">
      <c r="J67" s="4" t="s">
        <v>88</v>
      </c>
      <c r="K67" s="6">
        <v>4623</v>
      </c>
    </row>
    <row r="68" spans="10:11" x14ac:dyDescent="0.35">
      <c r="J68" s="4" t="s">
        <v>221</v>
      </c>
      <c r="K68" s="6">
        <v>4611</v>
      </c>
    </row>
    <row r="69" spans="10:11" x14ac:dyDescent="0.35">
      <c r="J69" s="4" t="s">
        <v>780</v>
      </c>
      <c r="K69" s="6">
        <v>4585</v>
      </c>
    </row>
    <row r="70" spans="10:11" x14ac:dyDescent="0.35">
      <c r="J70" s="4" t="s">
        <v>260</v>
      </c>
      <c r="K70" s="6">
        <v>4533</v>
      </c>
    </row>
    <row r="71" spans="10:11" x14ac:dyDescent="0.35">
      <c r="J71" s="4" t="s">
        <v>405</v>
      </c>
      <c r="K71" s="6">
        <v>4531</v>
      </c>
    </row>
    <row r="72" spans="10:11" x14ac:dyDescent="0.35">
      <c r="J72" s="4" t="s">
        <v>404</v>
      </c>
      <c r="K72" s="6">
        <v>4531</v>
      </c>
    </row>
    <row r="73" spans="10:11" x14ac:dyDescent="0.35">
      <c r="J73" s="4" t="s">
        <v>183</v>
      </c>
      <c r="K73" s="6">
        <v>4527</v>
      </c>
    </row>
    <row r="74" spans="10:11" x14ac:dyDescent="0.35">
      <c r="J74" s="4" t="s">
        <v>300</v>
      </c>
      <c r="K74" s="6">
        <v>4508</v>
      </c>
    </row>
    <row r="75" spans="10:11" x14ac:dyDescent="0.35">
      <c r="J75" s="4" t="s">
        <v>703</v>
      </c>
      <c r="K75" s="6">
        <v>4507</v>
      </c>
    </row>
    <row r="76" spans="10:11" x14ac:dyDescent="0.35">
      <c r="J76" s="4" t="s">
        <v>611</v>
      </c>
      <c r="K76" s="6">
        <v>4477</v>
      </c>
    </row>
    <row r="77" spans="10:11" x14ac:dyDescent="0.35">
      <c r="J77" s="4" t="s">
        <v>337</v>
      </c>
      <c r="K77" s="6">
        <v>4448</v>
      </c>
    </row>
    <row r="78" spans="10:11" x14ac:dyDescent="0.35">
      <c r="J78" s="4" t="s">
        <v>693</v>
      </c>
      <c r="K78" s="6">
        <v>4441</v>
      </c>
    </row>
    <row r="79" spans="10:11" x14ac:dyDescent="0.35">
      <c r="J79" s="4" t="s">
        <v>424</v>
      </c>
      <c r="K79" s="6">
        <v>4432</v>
      </c>
    </row>
    <row r="80" spans="10:11" x14ac:dyDescent="0.35">
      <c r="J80" s="4" t="s">
        <v>423</v>
      </c>
      <c r="K80" s="6">
        <v>4432</v>
      </c>
    </row>
    <row r="81" spans="10:11" x14ac:dyDescent="0.35">
      <c r="J81" s="4" t="s">
        <v>422</v>
      </c>
      <c r="K81" s="6">
        <v>4432</v>
      </c>
    </row>
    <row r="82" spans="10:11" x14ac:dyDescent="0.35">
      <c r="J82" s="4" t="s">
        <v>242</v>
      </c>
      <c r="K82" s="6">
        <v>4432</v>
      </c>
    </row>
    <row r="83" spans="10:11" x14ac:dyDescent="0.35">
      <c r="J83" s="4" t="s">
        <v>280</v>
      </c>
      <c r="K83" s="6">
        <v>4421</v>
      </c>
    </row>
    <row r="84" spans="10:11" x14ac:dyDescent="0.35">
      <c r="J84" s="4" t="s">
        <v>109</v>
      </c>
      <c r="K84" s="6">
        <v>4401</v>
      </c>
    </row>
    <row r="85" spans="10:11" x14ac:dyDescent="0.35">
      <c r="J85" s="4" t="s">
        <v>100</v>
      </c>
      <c r="K85" s="6">
        <v>4385</v>
      </c>
    </row>
    <row r="86" spans="10:11" x14ac:dyDescent="0.35">
      <c r="J86" s="4" t="s">
        <v>99</v>
      </c>
      <c r="K86" s="6">
        <v>4385</v>
      </c>
    </row>
    <row r="87" spans="10:11" x14ac:dyDescent="0.35">
      <c r="J87" s="4" t="s">
        <v>544</v>
      </c>
      <c r="K87" s="6">
        <v>4364</v>
      </c>
    </row>
    <row r="88" spans="10:11" x14ac:dyDescent="0.35">
      <c r="J88" s="4" t="s">
        <v>545</v>
      </c>
      <c r="K88" s="6">
        <v>4364</v>
      </c>
    </row>
    <row r="89" spans="10:11" x14ac:dyDescent="0.35">
      <c r="J89" s="4" t="s">
        <v>638</v>
      </c>
      <c r="K89" s="6">
        <v>4361</v>
      </c>
    </row>
    <row r="90" spans="10:11" x14ac:dyDescent="0.35">
      <c r="J90" s="4" t="s">
        <v>71</v>
      </c>
      <c r="K90" s="6">
        <v>4343</v>
      </c>
    </row>
    <row r="91" spans="10:11" x14ac:dyDescent="0.35">
      <c r="J91" s="4" t="s">
        <v>72</v>
      </c>
      <c r="K91" s="6">
        <v>4343</v>
      </c>
    </row>
    <row r="92" spans="10:11" x14ac:dyDescent="0.35">
      <c r="J92" s="4" t="s">
        <v>778</v>
      </c>
      <c r="K92" s="6">
        <v>4339</v>
      </c>
    </row>
    <row r="93" spans="10:11" x14ac:dyDescent="0.35">
      <c r="J93" s="4" t="s">
        <v>777</v>
      </c>
      <c r="K93" s="6">
        <v>4339</v>
      </c>
    </row>
    <row r="94" spans="10:11" x14ac:dyDescent="0.35">
      <c r="J94" s="4" t="s">
        <v>553</v>
      </c>
      <c r="K94" s="6">
        <v>4299</v>
      </c>
    </row>
    <row r="95" spans="10:11" x14ac:dyDescent="0.35">
      <c r="J95" s="4" t="s">
        <v>552</v>
      </c>
      <c r="K95" s="6">
        <v>4299</v>
      </c>
    </row>
    <row r="96" spans="10:11" x14ac:dyDescent="0.35">
      <c r="J96" s="4" t="s">
        <v>559</v>
      </c>
      <c r="K96" s="6">
        <v>4271</v>
      </c>
    </row>
    <row r="97" spans="10:11" x14ac:dyDescent="0.35">
      <c r="J97" s="4" t="s">
        <v>448</v>
      </c>
      <c r="K97" s="6">
        <v>4219</v>
      </c>
    </row>
    <row r="98" spans="10:11" x14ac:dyDescent="0.35">
      <c r="J98" s="4" t="s">
        <v>449</v>
      </c>
      <c r="K98" s="6">
        <v>4219</v>
      </c>
    </row>
    <row r="99" spans="10:11" x14ac:dyDescent="0.35">
      <c r="J99" s="4" t="s">
        <v>585</v>
      </c>
      <c r="K99" s="6">
        <v>4197</v>
      </c>
    </row>
    <row r="100" spans="10:11" x14ac:dyDescent="0.35">
      <c r="J100" s="4" t="s">
        <v>584</v>
      </c>
      <c r="K100" s="6">
        <v>4197</v>
      </c>
    </row>
    <row r="101" spans="10:11" x14ac:dyDescent="0.35">
      <c r="J101" s="4" t="s">
        <v>219</v>
      </c>
      <c r="K101" s="6">
        <v>4132</v>
      </c>
    </row>
    <row r="102" spans="10:11" x14ac:dyDescent="0.35">
      <c r="J102" s="4" t="s">
        <v>308</v>
      </c>
      <c r="K102" s="6">
        <v>3989</v>
      </c>
    </row>
    <row r="103" spans="10:11" x14ac:dyDescent="0.35">
      <c r="J103" s="4" t="s">
        <v>701</v>
      </c>
      <c r="K103" s="6">
        <v>3967</v>
      </c>
    </row>
    <row r="104" spans="10:11" x14ac:dyDescent="0.35">
      <c r="J104" s="4" t="s">
        <v>513</v>
      </c>
      <c r="K104" s="6">
        <v>3962</v>
      </c>
    </row>
    <row r="105" spans="10:11" x14ac:dyDescent="0.35">
      <c r="J105" s="4" t="s">
        <v>29</v>
      </c>
      <c r="K105" s="6">
        <v>3936</v>
      </c>
    </row>
    <row r="106" spans="10:11" x14ac:dyDescent="0.35">
      <c r="J106" s="4" t="s">
        <v>726</v>
      </c>
      <c r="K106" s="6">
        <v>3895</v>
      </c>
    </row>
    <row r="107" spans="10:11" x14ac:dyDescent="0.35">
      <c r="J107" s="4" t="s">
        <v>123</v>
      </c>
      <c r="K107" s="6">
        <v>3881</v>
      </c>
    </row>
    <row r="108" spans="10:11" x14ac:dyDescent="0.35">
      <c r="J108" s="4" t="s">
        <v>743</v>
      </c>
      <c r="K108" s="6">
        <v>3876</v>
      </c>
    </row>
    <row r="109" spans="10:11" x14ac:dyDescent="0.35">
      <c r="J109" s="4" t="s">
        <v>618</v>
      </c>
      <c r="K109" s="6">
        <v>3875</v>
      </c>
    </row>
    <row r="110" spans="10:11" x14ac:dyDescent="0.35">
      <c r="J110" s="4" t="s">
        <v>617</v>
      </c>
      <c r="K110" s="6">
        <v>3875</v>
      </c>
    </row>
    <row r="111" spans="10:11" x14ac:dyDescent="0.35">
      <c r="J111" s="4" t="s">
        <v>619</v>
      </c>
      <c r="K111" s="6">
        <v>3875</v>
      </c>
    </row>
    <row r="112" spans="10:11" x14ac:dyDescent="0.35">
      <c r="J112" s="4" t="s">
        <v>766</v>
      </c>
      <c r="K112" s="6">
        <v>3870</v>
      </c>
    </row>
    <row r="113" spans="10:11" x14ac:dyDescent="0.35">
      <c r="J113" s="4" t="s">
        <v>38</v>
      </c>
      <c r="K113" s="6">
        <v>3865</v>
      </c>
    </row>
    <row r="114" spans="10:11" x14ac:dyDescent="0.35">
      <c r="J114" s="4" t="s">
        <v>530</v>
      </c>
      <c r="K114" s="6">
        <v>3865</v>
      </c>
    </row>
    <row r="115" spans="10:11" x14ac:dyDescent="0.35">
      <c r="J115" s="4" t="s">
        <v>139</v>
      </c>
      <c r="K115" s="6">
        <v>3826</v>
      </c>
    </row>
    <row r="116" spans="10:11" x14ac:dyDescent="0.35">
      <c r="J116" s="4" t="s">
        <v>138</v>
      </c>
      <c r="K116" s="6">
        <v>3826</v>
      </c>
    </row>
    <row r="117" spans="10:11" x14ac:dyDescent="0.35">
      <c r="J117" s="4" t="s">
        <v>133</v>
      </c>
      <c r="K117" s="6">
        <v>3793</v>
      </c>
    </row>
    <row r="118" spans="10:11" x14ac:dyDescent="0.35">
      <c r="J118" s="4" t="s">
        <v>134</v>
      </c>
      <c r="K118" s="6">
        <v>3793</v>
      </c>
    </row>
    <row r="119" spans="10:11" x14ac:dyDescent="0.35">
      <c r="J119" s="4" t="s">
        <v>135</v>
      </c>
      <c r="K119" s="6">
        <v>3793</v>
      </c>
    </row>
    <row r="120" spans="10:11" x14ac:dyDescent="0.35">
      <c r="J120" s="4" t="s">
        <v>292</v>
      </c>
      <c r="K120" s="6">
        <v>3750</v>
      </c>
    </row>
    <row r="121" spans="10:11" x14ac:dyDescent="0.35">
      <c r="J121" s="4" t="s">
        <v>241</v>
      </c>
      <c r="K121" s="6">
        <v>3720</v>
      </c>
    </row>
    <row r="122" spans="10:11" x14ac:dyDescent="0.35">
      <c r="J122" s="4" t="s">
        <v>313</v>
      </c>
      <c r="K122" s="6">
        <v>3685</v>
      </c>
    </row>
    <row r="123" spans="10:11" x14ac:dyDescent="0.35">
      <c r="J123" s="4" t="s">
        <v>21</v>
      </c>
      <c r="K123" s="6">
        <v>3668</v>
      </c>
    </row>
    <row r="124" spans="10:11" x14ac:dyDescent="0.35">
      <c r="J124" s="4" t="s">
        <v>806</v>
      </c>
      <c r="K124" s="6">
        <v>3634</v>
      </c>
    </row>
    <row r="125" spans="10:11" x14ac:dyDescent="0.35">
      <c r="J125" s="4" t="s">
        <v>805</v>
      </c>
      <c r="K125" s="6">
        <v>3634</v>
      </c>
    </row>
    <row r="126" spans="10:11" x14ac:dyDescent="0.35">
      <c r="J126" s="4" t="s">
        <v>721</v>
      </c>
      <c r="K126" s="6">
        <v>3618</v>
      </c>
    </row>
    <row r="127" spans="10:11" x14ac:dyDescent="0.35">
      <c r="J127" s="4" t="s">
        <v>720</v>
      </c>
      <c r="K127" s="6">
        <v>3618</v>
      </c>
    </row>
    <row r="128" spans="10:11" x14ac:dyDescent="0.35">
      <c r="J128" s="4" t="s">
        <v>250</v>
      </c>
      <c r="K128" s="6">
        <v>3602</v>
      </c>
    </row>
    <row r="129" spans="10:11" x14ac:dyDescent="0.35">
      <c r="J129" s="4" t="s">
        <v>826</v>
      </c>
      <c r="K129" s="6">
        <v>3594</v>
      </c>
    </row>
    <row r="130" spans="10:11" x14ac:dyDescent="0.35">
      <c r="J130" s="4" t="s">
        <v>572</v>
      </c>
      <c r="K130" s="6">
        <v>3586</v>
      </c>
    </row>
    <row r="131" spans="10:11" x14ac:dyDescent="0.35">
      <c r="J131" s="4" t="s">
        <v>402</v>
      </c>
      <c r="K131" s="6">
        <v>3516</v>
      </c>
    </row>
    <row r="132" spans="10:11" x14ac:dyDescent="0.35">
      <c r="J132" s="4" t="s">
        <v>356</v>
      </c>
      <c r="K132" s="6">
        <v>3508</v>
      </c>
    </row>
    <row r="133" spans="10:11" x14ac:dyDescent="0.35">
      <c r="J133" s="4" t="s">
        <v>538</v>
      </c>
      <c r="K133" s="6">
        <v>3502</v>
      </c>
    </row>
    <row r="134" spans="10:11" x14ac:dyDescent="0.35">
      <c r="J134" s="4" t="s">
        <v>813</v>
      </c>
      <c r="K134" s="6">
        <v>3485</v>
      </c>
    </row>
    <row r="135" spans="10:11" x14ac:dyDescent="0.35">
      <c r="J135" s="4" t="s">
        <v>597</v>
      </c>
      <c r="K135" s="6">
        <v>3464</v>
      </c>
    </row>
    <row r="136" spans="10:11" x14ac:dyDescent="0.35">
      <c r="J136" s="4" t="s">
        <v>694</v>
      </c>
      <c r="K136" s="6">
        <v>3454</v>
      </c>
    </row>
    <row r="137" spans="10:11" x14ac:dyDescent="0.35">
      <c r="J137" s="4" t="s">
        <v>695</v>
      </c>
      <c r="K137" s="6">
        <v>3454</v>
      </c>
    </row>
    <row r="138" spans="10:11" x14ac:dyDescent="0.35">
      <c r="J138" s="4" t="s">
        <v>783</v>
      </c>
      <c r="K138" s="6">
        <v>3450</v>
      </c>
    </row>
    <row r="139" spans="10:11" x14ac:dyDescent="0.35">
      <c r="J139" s="4" t="s">
        <v>111</v>
      </c>
      <c r="K139" s="6">
        <v>3448</v>
      </c>
    </row>
    <row r="140" spans="10:11" x14ac:dyDescent="0.35">
      <c r="J140" s="4" t="s">
        <v>110</v>
      </c>
      <c r="K140" s="6">
        <v>3448</v>
      </c>
    </row>
    <row r="141" spans="10:11" x14ac:dyDescent="0.35">
      <c r="J141" s="4" t="s">
        <v>108</v>
      </c>
      <c r="K141" s="6">
        <v>3430</v>
      </c>
    </row>
    <row r="142" spans="10:11" x14ac:dyDescent="0.35">
      <c r="J142" s="4" t="s">
        <v>604</v>
      </c>
      <c r="K142" s="6">
        <v>3430</v>
      </c>
    </row>
    <row r="143" spans="10:11" x14ac:dyDescent="0.35">
      <c r="J143" s="4" t="s">
        <v>603</v>
      </c>
      <c r="K143" s="6">
        <v>3430</v>
      </c>
    </row>
    <row r="144" spans="10:11" x14ac:dyDescent="0.35">
      <c r="J144" s="4" t="s">
        <v>167</v>
      </c>
      <c r="K144" s="6">
        <v>3429</v>
      </c>
    </row>
    <row r="145" spans="10:11" x14ac:dyDescent="0.35">
      <c r="J145" s="4" t="s">
        <v>166</v>
      </c>
      <c r="K145" s="6">
        <v>3429</v>
      </c>
    </row>
    <row r="146" spans="10:11" x14ac:dyDescent="0.35">
      <c r="J146" s="4" t="s">
        <v>198</v>
      </c>
      <c r="K146" s="6">
        <v>3425</v>
      </c>
    </row>
    <row r="147" spans="10:11" x14ac:dyDescent="0.35">
      <c r="J147" s="4" t="s">
        <v>573</v>
      </c>
      <c r="K147" s="6">
        <v>3394</v>
      </c>
    </row>
    <row r="148" spans="10:11" x14ac:dyDescent="0.35">
      <c r="J148" s="4" t="s">
        <v>101</v>
      </c>
      <c r="K148" s="6">
        <v>3394</v>
      </c>
    </row>
    <row r="149" spans="10:11" x14ac:dyDescent="0.35">
      <c r="J149" s="4" t="s">
        <v>107</v>
      </c>
      <c r="K149" s="6">
        <v>3389</v>
      </c>
    </row>
    <row r="150" spans="10:11" x14ac:dyDescent="0.35">
      <c r="J150" s="4" t="s">
        <v>181</v>
      </c>
      <c r="K150" s="6">
        <v>3387</v>
      </c>
    </row>
    <row r="151" spans="10:11" x14ac:dyDescent="0.35">
      <c r="J151" s="4" t="s">
        <v>598</v>
      </c>
      <c r="K151" s="6">
        <v>3381</v>
      </c>
    </row>
    <row r="152" spans="10:11" x14ac:dyDescent="0.35">
      <c r="J152" s="4" t="s">
        <v>789</v>
      </c>
      <c r="K152" s="6">
        <v>3319</v>
      </c>
    </row>
    <row r="153" spans="10:11" x14ac:dyDescent="0.35">
      <c r="J153" s="4" t="s">
        <v>788</v>
      </c>
      <c r="K153" s="6">
        <v>3319</v>
      </c>
    </row>
    <row r="154" spans="10:11" x14ac:dyDescent="0.35">
      <c r="J154" s="4" t="s">
        <v>605</v>
      </c>
      <c r="K154" s="6">
        <v>3306</v>
      </c>
    </row>
    <row r="155" spans="10:11" x14ac:dyDescent="0.35">
      <c r="J155" s="4" t="s">
        <v>779</v>
      </c>
      <c r="K155" s="6">
        <v>3301</v>
      </c>
    </row>
    <row r="156" spans="10:11" x14ac:dyDescent="0.35">
      <c r="J156" s="4" t="s">
        <v>199</v>
      </c>
      <c r="K156" s="6">
        <v>3286</v>
      </c>
    </row>
    <row r="157" spans="10:11" x14ac:dyDescent="0.35">
      <c r="J157" s="4" t="s">
        <v>200</v>
      </c>
      <c r="K157" s="6">
        <v>3286</v>
      </c>
    </row>
    <row r="158" spans="10:11" x14ac:dyDescent="0.35">
      <c r="J158" s="4" t="s">
        <v>511</v>
      </c>
      <c r="K158" s="6">
        <v>3279</v>
      </c>
    </row>
    <row r="159" spans="10:11" x14ac:dyDescent="0.35">
      <c r="J159" s="4" t="s">
        <v>370</v>
      </c>
      <c r="K159" s="6">
        <v>3253</v>
      </c>
    </row>
    <row r="160" spans="10:11" x14ac:dyDescent="0.35">
      <c r="J160" s="4" t="s">
        <v>259</v>
      </c>
      <c r="K160" s="6">
        <v>3218</v>
      </c>
    </row>
    <row r="161" spans="10:11" x14ac:dyDescent="0.35">
      <c r="J161" s="4" t="s">
        <v>490</v>
      </c>
      <c r="K161" s="6">
        <v>3178</v>
      </c>
    </row>
    <row r="162" spans="10:11" x14ac:dyDescent="0.35">
      <c r="J162" s="4" t="s">
        <v>752</v>
      </c>
      <c r="K162" s="6">
        <v>3178</v>
      </c>
    </row>
    <row r="163" spans="10:11" x14ac:dyDescent="0.35">
      <c r="J163" s="4" t="s">
        <v>126</v>
      </c>
      <c r="K163" s="6">
        <v>3115</v>
      </c>
    </row>
    <row r="164" spans="10:11" x14ac:dyDescent="0.35">
      <c r="J164" s="4" t="s">
        <v>400</v>
      </c>
      <c r="K164" s="6">
        <v>3101</v>
      </c>
    </row>
    <row r="165" spans="10:11" x14ac:dyDescent="0.35">
      <c r="J165" s="4" t="s">
        <v>594</v>
      </c>
      <c r="K165" s="6">
        <v>3096</v>
      </c>
    </row>
    <row r="166" spans="10:11" x14ac:dyDescent="0.35">
      <c r="J166" s="4" t="s">
        <v>344</v>
      </c>
      <c r="K166" s="6">
        <v>3074</v>
      </c>
    </row>
    <row r="167" spans="10:11" x14ac:dyDescent="0.35">
      <c r="J167" s="4" t="s">
        <v>345</v>
      </c>
      <c r="K167" s="6">
        <v>3074</v>
      </c>
    </row>
    <row r="168" spans="10:11" x14ac:dyDescent="0.35">
      <c r="J168" s="4" t="s">
        <v>343</v>
      </c>
      <c r="K168" s="6">
        <v>3074</v>
      </c>
    </row>
    <row r="169" spans="10:11" x14ac:dyDescent="0.35">
      <c r="J169" s="4" t="s">
        <v>304</v>
      </c>
      <c r="K169" s="6">
        <v>3071</v>
      </c>
    </row>
    <row r="170" spans="10:11" x14ac:dyDescent="0.35">
      <c r="J170" s="4" t="s">
        <v>303</v>
      </c>
      <c r="K170" s="6">
        <v>3071</v>
      </c>
    </row>
    <row r="171" spans="10:11" x14ac:dyDescent="0.35">
      <c r="J171" s="4" t="s">
        <v>271</v>
      </c>
      <c r="K171" s="6">
        <v>3064</v>
      </c>
    </row>
    <row r="172" spans="10:11" x14ac:dyDescent="0.35">
      <c r="J172" s="4" t="s">
        <v>734</v>
      </c>
      <c r="K172" s="6">
        <v>3063</v>
      </c>
    </row>
    <row r="173" spans="10:11" x14ac:dyDescent="0.35">
      <c r="J173" s="4" t="s">
        <v>265</v>
      </c>
      <c r="K173" s="6">
        <v>3062</v>
      </c>
    </row>
    <row r="174" spans="10:11" x14ac:dyDescent="0.35">
      <c r="J174" s="4" t="s">
        <v>175</v>
      </c>
      <c r="K174" s="6">
        <v>3043</v>
      </c>
    </row>
    <row r="175" spans="10:11" x14ac:dyDescent="0.35">
      <c r="J175" s="4" t="s">
        <v>174</v>
      </c>
      <c r="K175" s="6">
        <v>3043</v>
      </c>
    </row>
    <row r="176" spans="10:11" x14ac:dyDescent="0.35">
      <c r="J176" s="4" t="s">
        <v>748</v>
      </c>
      <c r="K176" s="6">
        <v>3043</v>
      </c>
    </row>
    <row r="177" spans="10:11" x14ac:dyDescent="0.35">
      <c r="J177" s="4" t="s">
        <v>824</v>
      </c>
      <c r="K177" s="6">
        <v>3042</v>
      </c>
    </row>
    <row r="178" spans="10:11" x14ac:dyDescent="0.35">
      <c r="J178" s="4" t="s">
        <v>823</v>
      </c>
      <c r="K178" s="6">
        <v>3042</v>
      </c>
    </row>
    <row r="179" spans="10:11" x14ac:dyDescent="0.35">
      <c r="J179" s="4" t="s">
        <v>152</v>
      </c>
      <c r="K179" s="6">
        <v>3033</v>
      </c>
    </row>
    <row r="180" spans="10:11" x14ac:dyDescent="0.35">
      <c r="J180" s="4" t="s">
        <v>153</v>
      </c>
      <c r="K180" s="6">
        <v>3033</v>
      </c>
    </row>
    <row r="181" spans="10:11" x14ac:dyDescent="0.35">
      <c r="J181" s="4" t="s">
        <v>177</v>
      </c>
      <c r="K181" s="6">
        <v>3024</v>
      </c>
    </row>
    <row r="182" spans="10:11" x14ac:dyDescent="0.35">
      <c r="J182" s="4" t="s">
        <v>751</v>
      </c>
      <c r="K182" s="6">
        <v>2999</v>
      </c>
    </row>
    <row r="183" spans="10:11" x14ac:dyDescent="0.35">
      <c r="J183" s="4" t="s">
        <v>750</v>
      </c>
      <c r="K183" s="6">
        <v>2999</v>
      </c>
    </row>
    <row r="184" spans="10:11" x14ac:dyDescent="0.35">
      <c r="J184" s="4" t="s">
        <v>137</v>
      </c>
      <c r="K184" s="6">
        <v>2988</v>
      </c>
    </row>
    <row r="185" spans="10:11" x14ac:dyDescent="0.35">
      <c r="J185" s="4" t="s">
        <v>644</v>
      </c>
      <c r="K185" s="6">
        <v>2925</v>
      </c>
    </row>
    <row r="186" spans="10:11" x14ac:dyDescent="0.35">
      <c r="J186" s="4" t="s">
        <v>373</v>
      </c>
      <c r="K186" s="6">
        <v>2921</v>
      </c>
    </row>
    <row r="187" spans="10:11" x14ac:dyDescent="0.35">
      <c r="J187" s="4" t="s">
        <v>374</v>
      </c>
      <c r="K187" s="6">
        <v>2921</v>
      </c>
    </row>
    <row r="188" spans="10:11" x14ac:dyDescent="0.35">
      <c r="J188" s="4" t="s">
        <v>607</v>
      </c>
      <c r="K188" s="6">
        <v>2914</v>
      </c>
    </row>
    <row r="189" spans="10:11" x14ac:dyDescent="0.35">
      <c r="J189" s="4" t="s">
        <v>122</v>
      </c>
      <c r="K189" s="6">
        <v>2905</v>
      </c>
    </row>
    <row r="190" spans="10:11" x14ac:dyDescent="0.35">
      <c r="J190" s="4" t="s">
        <v>631</v>
      </c>
      <c r="K190" s="6">
        <v>2881</v>
      </c>
    </row>
    <row r="191" spans="10:11" x14ac:dyDescent="0.35">
      <c r="J191" s="4" t="s">
        <v>83</v>
      </c>
      <c r="K191" s="6">
        <v>2873</v>
      </c>
    </row>
    <row r="192" spans="10:11" x14ac:dyDescent="0.35">
      <c r="J192" s="4" t="s">
        <v>84</v>
      </c>
      <c r="K192" s="6">
        <v>2873</v>
      </c>
    </row>
    <row r="193" spans="10:11" x14ac:dyDescent="0.35">
      <c r="J193" s="4" t="s">
        <v>179</v>
      </c>
      <c r="K193" s="6">
        <v>2852</v>
      </c>
    </row>
    <row r="194" spans="10:11" x14ac:dyDescent="0.35">
      <c r="J194" s="4" t="s">
        <v>394</v>
      </c>
      <c r="K194" s="6">
        <v>2851</v>
      </c>
    </row>
    <row r="195" spans="10:11" x14ac:dyDescent="0.35">
      <c r="J195" s="4" t="s">
        <v>202</v>
      </c>
      <c r="K195" s="6">
        <v>2845</v>
      </c>
    </row>
    <row r="196" spans="10:11" x14ac:dyDescent="0.35">
      <c r="J196" s="4" t="s">
        <v>148</v>
      </c>
      <c r="K196" s="6">
        <v>2843</v>
      </c>
    </row>
    <row r="197" spans="10:11" x14ac:dyDescent="0.35">
      <c r="J197" s="4" t="s">
        <v>145</v>
      </c>
      <c r="K197" s="6">
        <v>2842</v>
      </c>
    </row>
    <row r="198" spans="10:11" x14ac:dyDescent="0.35">
      <c r="J198" s="4" t="s">
        <v>389</v>
      </c>
      <c r="K198" s="6">
        <v>2839</v>
      </c>
    </row>
    <row r="199" spans="10:11" x14ac:dyDescent="0.35">
      <c r="J199" s="4" t="s">
        <v>388</v>
      </c>
      <c r="K199" s="6">
        <v>2839</v>
      </c>
    </row>
    <row r="200" spans="10:11" x14ac:dyDescent="0.35">
      <c r="J200" s="4" t="s">
        <v>55</v>
      </c>
      <c r="K200" s="6">
        <v>2837</v>
      </c>
    </row>
    <row r="201" spans="10:11" x14ac:dyDescent="0.35">
      <c r="J201" s="4" t="s">
        <v>54</v>
      </c>
      <c r="K201" s="6">
        <v>2837</v>
      </c>
    </row>
    <row r="202" spans="10:11" x14ac:dyDescent="0.35">
      <c r="J202" s="4" t="s">
        <v>56</v>
      </c>
      <c r="K202" s="6">
        <v>2837</v>
      </c>
    </row>
    <row r="203" spans="10:11" x14ac:dyDescent="0.35">
      <c r="J203" s="4" t="s">
        <v>426</v>
      </c>
      <c r="K203" s="6">
        <v>2830</v>
      </c>
    </row>
    <row r="204" spans="10:11" x14ac:dyDescent="0.35">
      <c r="J204" s="4" t="s">
        <v>715</v>
      </c>
      <c r="K204" s="6">
        <v>2826</v>
      </c>
    </row>
    <row r="205" spans="10:11" x14ac:dyDescent="0.35">
      <c r="J205" s="4" t="s">
        <v>713</v>
      </c>
      <c r="K205" s="6">
        <v>2826</v>
      </c>
    </row>
    <row r="206" spans="10:11" x14ac:dyDescent="0.35">
      <c r="J206" s="4" t="s">
        <v>714</v>
      </c>
      <c r="K206" s="6">
        <v>2826</v>
      </c>
    </row>
    <row r="207" spans="10:11" x14ac:dyDescent="0.35">
      <c r="J207" s="4" t="s">
        <v>34</v>
      </c>
      <c r="K207" s="6">
        <v>2818</v>
      </c>
    </row>
    <row r="208" spans="10:11" x14ac:dyDescent="0.35">
      <c r="J208" s="4" t="s">
        <v>557</v>
      </c>
      <c r="K208" s="6">
        <v>2812</v>
      </c>
    </row>
    <row r="209" spans="10:11" x14ac:dyDescent="0.35">
      <c r="J209" s="4" t="s">
        <v>556</v>
      </c>
      <c r="K209" s="6">
        <v>2812</v>
      </c>
    </row>
    <row r="210" spans="10:11" x14ac:dyDescent="0.35">
      <c r="J210" s="4" t="s">
        <v>399</v>
      </c>
      <c r="K210" s="6">
        <v>2802</v>
      </c>
    </row>
    <row r="211" spans="10:11" x14ac:dyDescent="0.35">
      <c r="J211" s="4" t="s">
        <v>147</v>
      </c>
      <c r="K211" s="6">
        <v>2797</v>
      </c>
    </row>
    <row r="212" spans="10:11" x14ac:dyDescent="0.35">
      <c r="J212" s="4" t="s">
        <v>586</v>
      </c>
      <c r="K212" s="6">
        <v>2782</v>
      </c>
    </row>
    <row r="213" spans="10:11" x14ac:dyDescent="0.35">
      <c r="J213" s="4" t="s">
        <v>296</v>
      </c>
      <c r="K213" s="6">
        <v>2770</v>
      </c>
    </row>
    <row r="214" spans="10:11" x14ac:dyDescent="0.35">
      <c r="J214" s="4" t="s">
        <v>295</v>
      </c>
      <c r="K214" s="6">
        <v>2770</v>
      </c>
    </row>
    <row r="215" spans="10:11" x14ac:dyDescent="0.35">
      <c r="J215" s="4" t="s">
        <v>386</v>
      </c>
      <c r="K215" s="6">
        <v>2733</v>
      </c>
    </row>
    <row r="216" spans="10:11" x14ac:dyDescent="0.35">
      <c r="J216" s="4" t="s">
        <v>49</v>
      </c>
      <c r="K216" s="6">
        <v>2714</v>
      </c>
    </row>
    <row r="217" spans="10:11" x14ac:dyDescent="0.35">
      <c r="J217" s="4" t="s">
        <v>50</v>
      </c>
      <c r="K217" s="6">
        <v>2714</v>
      </c>
    </row>
    <row r="218" spans="10:11" x14ac:dyDescent="0.35">
      <c r="J218" s="4" t="s">
        <v>378</v>
      </c>
      <c r="K218" s="6">
        <v>2692</v>
      </c>
    </row>
    <row r="219" spans="10:11" x14ac:dyDescent="0.35">
      <c r="J219" s="4" t="s">
        <v>717</v>
      </c>
      <c r="K219" s="6">
        <v>2677</v>
      </c>
    </row>
    <row r="220" spans="10:11" x14ac:dyDescent="0.35">
      <c r="J220" s="4" t="s">
        <v>515</v>
      </c>
      <c r="K220" s="6">
        <v>2673</v>
      </c>
    </row>
    <row r="221" spans="10:11" x14ac:dyDescent="0.35">
      <c r="J221" s="4" t="s">
        <v>774</v>
      </c>
      <c r="K221" s="6">
        <v>2661</v>
      </c>
    </row>
    <row r="222" spans="10:11" x14ac:dyDescent="0.35">
      <c r="J222" s="4" t="s">
        <v>106</v>
      </c>
      <c r="K222" s="6">
        <v>2659</v>
      </c>
    </row>
    <row r="223" spans="10:11" x14ac:dyDescent="0.35">
      <c r="J223" s="4" t="s">
        <v>104</v>
      </c>
      <c r="K223" s="6">
        <v>2659</v>
      </c>
    </row>
    <row r="224" spans="10:11" x14ac:dyDescent="0.35">
      <c r="J224" s="4" t="s">
        <v>105</v>
      </c>
      <c r="K224" s="6">
        <v>2659</v>
      </c>
    </row>
    <row r="225" spans="10:11" x14ac:dyDescent="0.35">
      <c r="J225" s="4" t="s">
        <v>314</v>
      </c>
      <c r="K225" s="6">
        <v>2656</v>
      </c>
    </row>
    <row r="226" spans="10:11" x14ac:dyDescent="0.35">
      <c r="J226" s="4" t="s">
        <v>315</v>
      </c>
      <c r="K226" s="6">
        <v>2656</v>
      </c>
    </row>
    <row r="227" spans="10:11" x14ac:dyDescent="0.35">
      <c r="J227" s="4" t="s">
        <v>479</v>
      </c>
      <c r="K227" s="6">
        <v>2642</v>
      </c>
    </row>
    <row r="228" spans="10:11" x14ac:dyDescent="0.35">
      <c r="J228" s="4" t="s">
        <v>719</v>
      </c>
      <c r="K228" s="6">
        <v>2640</v>
      </c>
    </row>
    <row r="229" spans="10:11" x14ac:dyDescent="0.35">
      <c r="J229" s="4" t="s">
        <v>718</v>
      </c>
      <c r="K229" s="6">
        <v>2640</v>
      </c>
    </row>
    <row r="230" spans="10:11" x14ac:dyDescent="0.35">
      <c r="J230" s="4" t="s">
        <v>262</v>
      </c>
      <c r="K230" s="6">
        <v>2631</v>
      </c>
    </row>
    <row r="231" spans="10:11" x14ac:dyDescent="0.35">
      <c r="J231" s="4" t="s">
        <v>261</v>
      </c>
      <c r="K231" s="6">
        <v>2631</v>
      </c>
    </row>
    <row r="232" spans="10:11" x14ac:dyDescent="0.35">
      <c r="J232" s="4" t="s">
        <v>643</v>
      </c>
      <c r="K232" s="6">
        <v>2618</v>
      </c>
    </row>
    <row r="233" spans="10:11" x14ac:dyDescent="0.35">
      <c r="J233" s="4" t="s">
        <v>493</v>
      </c>
      <c r="K233" s="6">
        <v>2607</v>
      </c>
    </row>
    <row r="234" spans="10:11" x14ac:dyDescent="0.35">
      <c r="J234" s="4" t="s">
        <v>492</v>
      </c>
      <c r="K234" s="6">
        <v>2607</v>
      </c>
    </row>
    <row r="235" spans="10:11" x14ac:dyDescent="0.35">
      <c r="J235" s="4" t="s">
        <v>268</v>
      </c>
      <c r="K235" s="6">
        <v>2606</v>
      </c>
    </row>
    <row r="236" spans="10:11" x14ac:dyDescent="0.35">
      <c r="J236" s="4" t="s">
        <v>14</v>
      </c>
      <c r="K236" s="6">
        <v>2605</v>
      </c>
    </row>
    <row r="237" spans="10:11" x14ac:dyDescent="0.35">
      <c r="J237" s="4" t="s">
        <v>8</v>
      </c>
      <c r="K237" s="6">
        <v>2605</v>
      </c>
    </row>
    <row r="238" spans="10:11" x14ac:dyDescent="0.35">
      <c r="J238" s="4" t="s">
        <v>12</v>
      </c>
      <c r="K238" s="6">
        <v>2605</v>
      </c>
    </row>
    <row r="239" spans="10:11" x14ac:dyDescent="0.35">
      <c r="J239" s="4" t="s">
        <v>258</v>
      </c>
      <c r="K239" s="6">
        <v>2598</v>
      </c>
    </row>
    <row r="240" spans="10:11" x14ac:dyDescent="0.35">
      <c r="J240" s="4" t="s">
        <v>186</v>
      </c>
      <c r="K240" s="6">
        <v>2588</v>
      </c>
    </row>
    <row r="241" spans="10:11" x14ac:dyDescent="0.35">
      <c r="J241" s="4" t="s">
        <v>185</v>
      </c>
      <c r="K241" s="6">
        <v>2588</v>
      </c>
    </row>
    <row r="242" spans="10:11" x14ac:dyDescent="0.35">
      <c r="J242" s="4" t="s">
        <v>653</v>
      </c>
      <c r="K242" s="6">
        <v>2565</v>
      </c>
    </row>
    <row r="243" spans="10:11" x14ac:dyDescent="0.35">
      <c r="J243" s="4" t="s">
        <v>652</v>
      </c>
      <c r="K243" s="6">
        <v>2565</v>
      </c>
    </row>
    <row r="244" spans="10:11" x14ac:dyDescent="0.35">
      <c r="J244" s="4" t="s">
        <v>651</v>
      </c>
      <c r="K244" s="6">
        <v>2565</v>
      </c>
    </row>
    <row r="245" spans="10:11" x14ac:dyDescent="0.35">
      <c r="J245" s="4" t="s">
        <v>266</v>
      </c>
      <c r="K245" s="6">
        <v>2563</v>
      </c>
    </row>
    <row r="246" spans="10:11" x14ac:dyDescent="0.35">
      <c r="J246" s="4" t="s">
        <v>267</v>
      </c>
      <c r="K246" s="6">
        <v>2563</v>
      </c>
    </row>
    <row r="247" spans="10:11" x14ac:dyDescent="0.35">
      <c r="J247" s="4" t="s">
        <v>809</v>
      </c>
      <c r="K247" s="6">
        <v>2555</v>
      </c>
    </row>
    <row r="248" spans="10:11" x14ac:dyDescent="0.35">
      <c r="J248" s="4" t="s">
        <v>293</v>
      </c>
      <c r="K248" s="6">
        <v>2555</v>
      </c>
    </row>
    <row r="249" spans="10:11" x14ac:dyDescent="0.35">
      <c r="J249" s="4" t="s">
        <v>294</v>
      </c>
      <c r="K249" s="6">
        <v>2555</v>
      </c>
    </row>
    <row r="250" spans="10:11" x14ac:dyDescent="0.35">
      <c r="J250" s="4" t="s">
        <v>102</v>
      </c>
      <c r="K250" s="6">
        <v>2542</v>
      </c>
    </row>
    <row r="251" spans="10:11" x14ac:dyDescent="0.35">
      <c r="J251" s="4" t="s">
        <v>655</v>
      </c>
      <c r="K251" s="6">
        <v>2530</v>
      </c>
    </row>
    <row r="252" spans="10:11" x14ac:dyDescent="0.35">
      <c r="J252" s="4" t="s">
        <v>654</v>
      </c>
      <c r="K252" s="6">
        <v>2530</v>
      </c>
    </row>
    <row r="253" spans="10:11" x14ac:dyDescent="0.35">
      <c r="J253" s="4" t="s">
        <v>218</v>
      </c>
      <c r="K253" s="6">
        <v>2529</v>
      </c>
    </row>
    <row r="254" spans="10:11" x14ac:dyDescent="0.35">
      <c r="J254" s="4" t="s">
        <v>320</v>
      </c>
      <c r="K254" s="6">
        <v>2527</v>
      </c>
    </row>
    <row r="255" spans="10:11" x14ac:dyDescent="0.35">
      <c r="J255" s="4" t="s">
        <v>569</v>
      </c>
      <c r="K255" s="6">
        <v>2526</v>
      </c>
    </row>
    <row r="256" spans="10:11" x14ac:dyDescent="0.35">
      <c r="J256" s="4" t="s">
        <v>484</v>
      </c>
      <c r="K256" s="6">
        <v>2510</v>
      </c>
    </row>
    <row r="257" spans="10:11" x14ac:dyDescent="0.35">
      <c r="J257" s="4" t="s">
        <v>257</v>
      </c>
      <c r="K257" s="6">
        <v>2498</v>
      </c>
    </row>
    <row r="258" spans="10:11" x14ac:dyDescent="0.35">
      <c r="J258" s="4" t="s">
        <v>240</v>
      </c>
      <c r="K258" s="6">
        <v>2490</v>
      </c>
    </row>
    <row r="259" spans="10:11" x14ac:dyDescent="0.35">
      <c r="J259" s="4" t="s">
        <v>543</v>
      </c>
      <c r="K259" s="6">
        <v>2484</v>
      </c>
    </row>
    <row r="260" spans="10:11" x14ac:dyDescent="0.35">
      <c r="J260" s="4" t="s">
        <v>442</v>
      </c>
      <c r="K260" s="6">
        <v>2471</v>
      </c>
    </row>
    <row r="261" spans="10:11" x14ac:dyDescent="0.35">
      <c r="J261" s="4" t="s">
        <v>689</v>
      </c>
      <c r="K261" s="6">
        <v>2462</v>
      </c>
    </row>
    <row r="262" spans="10:11" x14ac:dyDescent="0.35">
      <c r="J262" s="4" t="s">
        <v>578</v>
      </c>
      <c r="K262" s="6">
        <v>2458</v>
      </c>
    </row>
    <row r="263" spans="10:11" x14ac:dyDescent="0.35">
      <c r="J263" s="4" t="s">
        <v>390</v>
      </c>
      <c r="K263" s="6">
        <v>2456</v>
      </c>
    </row>
    <row r="264" spans="10:11" x14ac:dyDescent="0.35">
      <c r="J264" s="4" t="s">
        <v>391</v>
      </c>
      <c r="K264" s="6">
        <v>2456</v>
      </c>
    </row>
    <row r="265" spans="10:11" x14ac:dyDescent="0.35">
      <c r="J265" s="4" t="s">
        <v>459</v>
      </c>
      <c r="K265" s="6">
        <v>2451</v>
      </c>
    </row>
    <row r="266" spans="10:11" x14ac:dyDescent="0.35">
      <c r="J266" s="4" t="s">
        <v>458</v>
      </c>
      <c r="K266" s="6">
        <v>2451</v>
      </c>
    </row>
    <row r="267" spans="10:11" x14ac:dyDescent="0.35">
      <c r="J267" s="4" t="s">
        <v>460</v>
      </c>
      <c r="K267" s="6">
        <v>2451</v>
      </c>
    </row>
    <row r="268" spans="10:11" x14ac:dyDescent="0.35">
      <c r="J268" s="4" t="s">
        <v>457</v>
      </c>
      <c r="K268" s="6">
        <v>2451</v>
      </c>
    </row>
    <row r="269" spans="10:11" x14ac:dyDescent="0.35">
      <c r="J269" s="4" t="s">
        <v>197</v>
      </c>
      <c r="K269" s="6">
        <v>2444</v>
      </c>
    </row>
    <row r="270" spans="10:11" x14ac:dyDescent="0.35">
      <c r="J270" s="4" t="s">
        <v>196</v>
      </c>
      <c r="K270" s="6">
        <v>2444</v>
      </c>
    </row>
    <row r="271" spans="10:11" x14ac:dyDescent="0.35">
      <c r="J271" s="4" t="s">
        <v>820</v>
      </c>
      <c r="K271" s="6">
        <v>2444</v>
      </c>
    </row>
    <row r="272" spans="10:11" x14ac:dyDescent="0.35">
      <c r="J272" s="4" t="s">
        <v>819</v>
      </c>
      <c r="K272" s="6">
        <v>2444</v>
      </c>
    </row>
    <row r="273" spans="10:11" x14ac:dyDescent="0.35">
      <c r="J273" s="4" t="s">
        <v>756</v>
      </c>
      <c r="K273" s="6">
        <v>2428</v>
      </c>
    </row>
    <row r="274" spans="10:11" x14ac:dyDescent="0.35">
      <c r="J274" s="4" t="s">
        <v>326</v>
      </c>
      <c r="K274" s="6">
        <v>2389</v>
      </c>
    </row>
    <row r="275" spans="10:11" x14ac:dyDescent="0.35">
      <c r="J275" s="4" t="s">
        <v>64</v>
      </c>
      <c r="K275" s="6">
        <v>2382</v>
      </c>
    </row>
    <row r="276" spans="10:11" x14ac:dyDescent="0.35">
      <c r="J276" s="4" t="s">
        <v>483</v>
      </c>
      <c r="K276" s="6">
        <v>2378</v>
      </c>
    </row>
    <row r="277" spans="10:11" x14ac:dyDescent="0.35">
      <c r="J277" s="4" t="s">
        <v>409</v>
      </c>
      <c r="K277" s="6">
        <v>2358</v>
      </c>
    </row>
    <row r="278" spans="10:11" x14ac:dyDescent="0.35">
      <c r="J278" s="4" t="s">
        <v>410</v>
      </c>
      <c r="K278" s="6">
        <v>2358</v>
      </c>
    </row>
    <row r="279" spans="10:11" x14ac:dyDescent="0.35">
      <c r="J279" s="4" t="s">
        <v>408</v>
      </c>
      <c r="K279" s="6">
        <v>2358</v>
      </c>
    </row>
    <row r="280" spans="10:11" x14ac:dyDescent="0.35">
      <c r="J280" s="4" t="s">
        <v>253</v>
      </c>
      <c r="K280" s="6">
        <v>2350</v>
      </c>
    </row>
    <row r="281" spans="10:11" x14ac:dyDescent="0.35">
      <c r="J281" s="4" t="s">
        <v>685</v>
      </c>
      <c r="K281" s="6">
        <v>2340</v>
      </c>
    </row>
    <row r="282" spans="10:11" x14ac:dyDescent="0.35">
      <c r="J282" s="4" t="s">
        <v>686</v>
      </c>
      <c r="K282" s="6">
        <v>2340</v>
      </c>
    </row>
    <row r="283" spans="10:11" x14ac:dyDescent="0.35">
      <c r="J283" s="4" t="s">
        <v>536</v>
      </c>
      <c r="K283" s="6">
        <v>2332</v>
      </c>
    </row>
    <row r="284" spans="10:11" x14ac:dyDescent="0.35">
      <c r="J284" s="4" t="s">
        <v>517</v>
      </c>
      <c r="K284" s="6">
        <v>2322</v>
      </c>
    </row>
    <row r="285" spans="10:11" x14ac:dyDescent="0.35">
      <c r="J285" s="4" t="s">
        <v>518</v>
      </c>
      <c r="K285" s="6">
        <v>2322</v>
      </c>
    </row>
    <row r="286" spans="10:11" x14ac:dyDescent="0.35">
      <c r="J286" s="4" t="s">
        <v>347</v>
      </c>
      <c r="K286" s="6">
        <v>2321</v>
      </c>
    </row>
    <row r="287" spans="10:11" x14ac:dyDescent="0.35">
      <c r="J287" s="4" t="s">
        <v>346</v>
      </c>
      <c r="K287" s="6">
        <v>2321</v>
      </c>
    </row>
    <row r="288" spans="10:11" x14ac:dyDescent="0.35">
      <c r="J288" s="4" t="s">
        <v>441</v>
      </c>
      <c r="K288" s="6">
        <v>2319</v>
      </c>
    </row>
    <row r="289" spans="10:11" x14ac:dyDescent="0.35">
      <c r="J289" s="4" t="s">
        <v>785</v>
      </c>
      <c r="K289" s="6">
        <v>2317</v>
      </c>
    </row>
    <row r="290" spans="10:11" x14ac:dyDescent="0.35">
      <c r="J290" s="4" t="s">
        <v>650</v>
      </c>
      <c r="K290" s="6">
        <v>2305</v>
      </c>
    </row>
    <row r="291" spans="10:11" x14ac:dyDescent="0.35">
      <c r="J291" s="4" t="s">
        <v>403</v>
      </c>
      <c r="K291" s="6">
        <v>2264</v>
      </c>
    </row>
    <row r="292" spans="10:11" x14ac:dyDescent="0.35">
      <c r="J292" s="4" t="s">
        <v>425</v>
      </c>
      <c r="K292" s="6">
        <v>2247</v>
      </c>
    </row>
    <row r="293" spans="10:11" x14ac:dyDescent="0.35">
      <c r="J293" s="4" t="s">
        <v>680</v>
      </c>
      <c r="K293" s="6">
        <v>2230</v>
      </c>
    </row>
    <row r="294" spans="10:11" x14ac:dyDescent="0.35">
      <c r="J294" s="4" t="s">
        <v>132</v>
      </c>
      <c r="K294" s="6">
        <v>2226</v>
      </c>
    </row>
    <row r="295" spans="10:11" x14ac:dyDescent="0.35">
      <c r="J295" s="4" t="s">
        <v>397</v>
      </c>
      <c r="K295" s="6">
        <v>2220</v>
      </c>
    </row>
    <row r="296" spans="10:11" x14ac:dyDescent="0.35">
      <c r="J296" s="4" t="s">
        <v>142</v>
      </c>
      <c r="K296" s="6">
        <v>2211</v>
      </c>
    </row>
    <row r="297" spans="10:11" x14ac:dyDescent="0.35">
      <c r="J297" s="4" t="s">
        <v>141</v>
      </c>
      <c r="K297" s="6">
        <v>2211</v>
      </c>
    </row>
    <row r="298" spans="10:11" x14ac:dyDescent="0.35">
      <c r="J298" s="4" t="s">
        <v>143</v>
      </c>
      <c r="K298" s="6">
        <v>2211</v>
      </c>
    </row>
    <row r="299" spans="10:11" x14ac:dyDescent="0.35">
      <c r="J299" s="4" t="s">
        <v>140</v>
      </c>
      <c r="K299" s="6">
        <v>2211</v>
      </c>
    </row>
    <row r="300" spans="10:11" x14ac:dyDescent="0.35">
      <c r="J300" s="4" t="s">
        <v>401</v>
      </c>
      <c r="K300" s="6">
        <v>2204</v>
      </c>
    </row>
    <row r="301" spans="10:11" x14ac:dyDescent="0.35">
      <c r="J301" s="4" t="s">
        <v>803</v>
      </c>
      <c r="K301" s="6">
        <v>2189</v>
      </c>
    </row>
    <row r="302" spans="10:11" x14ac:dyDescent="0.35">
      <c r="J302" s="4" t="s">
        <v>802</v>
      </c>
      <c r="K302" s="6">
        <v>2189</v>
      </c>
    </row>
    <row r="303" spans="10:11" x14ac:dyDescent="0.35">
      <c r="J303" s="4" t="s">
        <v>233</v>
      </c>
      <c r="K303" s="6">
        <v>2184</v>
      </c>
    </row>
    <row r="304" spans="10:11" x14ac:dyDescent="0.35">
      <c r="J304" s="4" t="s">
        <v>48</v>
      </c>
      <c r="K304" s="6">
        <v>2160</v>
      </c>
    </row>
    <row r="305" spans="10:11" x14ac:dyDescent="0.35">
      <c r="J305" s="4" t="s">
        <v>40</v>
      </c>
      <c r="K305" s="6">
        <v>2130</v>
      </c>
    </row>
    <row r="306" spans="10:11" x14ac:dyDescent="0.35">
      <c r="J306" s="4" t="s">
        <v>494</v>
      </c>
      <c r="K306" s="6">
        <v>2121</v>
      </c>
    </row>
    <row r="307" spans="10:11" x14ac:dyDescent="0.35">
      <c r="J307" s="4" t="s">
        <v>495</v>
      </c>
      <c r="K307" s="6">
        <v>2121</v>
      </c>
    </row>
    <row r="308" spans="10:11" x14ac:dyDescent="0.35">
      <c r="J308" s="4" t="s">
        <v>383</v>
      </c>
      <c r="K308" s="6">
        <v>2117</v>
      </c>
    </row>
    <row r="309" spans="10:11" x14ac:dyDescent="0.35">
      <c r="J309" s="4" t="s">
        <v>764</v>
      </c>
      <c r="K309" s="6">
        <v>2114</v>
      </c>
    </row>
    <row r="310" spans="10:11" x14ac:dyDescent="0.35">
      <c r="J310" s="4" t="s">
        <v>588</v>
      </c>
      <c r="K310" s="6">
        <v>2111</v>
      </c>
    </row>
    <row r="311" spans="10:11" x14ac:dyDescent="0.35">
      <c r="J311" s="4" t="s">
        <v>587</v>
      </c>
      <c r="K311" s="6">
        <v>2111</v>
      </c>
    </row>
    <row r="312" spans="10:11" x14ac:dyDescent="0.35">
      <c r="J312" s="4" t="s">
        <v>589</v>
      </c>
      <c r="K312" s="6">
        <v>2111</v>
      </c>
    </row>
    <row r="313" spans="10:11" x14ac:dyDescent="0.35">
      <c r="J313" s="4" t="s">
        <v>804</v>
      </c>
      <c r="K313" s="6">
        <v>2090</v>
      </c>
    </row>
    <row r="314" spans="10:11" x14ac:dyDescent="0.35">
      <c r="J314" s="4" t="s">
        <v>794</v>
      </c>
      <c r="K314" s="6">
        <v>2088</v>
      </c>
    </row>
    <row r="315" spans="10:11" x14ac:dyDescent="0.35">
      <c r="J315" s="4" t="s">
        <v>793</v>
      </c>
      <c r="K315" s="6">
        <v>2088</v>
      </c>
    </row>
    <row r="316" spans="10:11" x14ac:dyDescent="0.35">
      <c r="J316" s="4" t="s">
        <v>191</v>
      </c>
      <c r="K316" s="6">
        <v>2061</v>
      </c>
    </row>
    <row r="317" spans="10:11" x14ac:dyDescent="0.35">
      <c r="J317" s="4" t="s">
        <v>599</v>
      </c>
      <c r="K317" s="6">
        <v>2052</v>
      </c>
    </row>
    <row r="318" spans="10:11" x14ac:dyDescent="0.35">
      <c r="J318" s="4" t="s">
        <v>339</v>
      </c>
      <c r="K318" s="6">
        <v>2045</v>
      </c>
    </row>
    <row r="319" spans="10:11" x14ac:dyDescent="0.35">
      <c r="J319" s="4" t="s">
        <v>340</v>
      </c>
      <c r="K319" s="6">
        <v>2045</v>
      </c>
    </row>
    <row r="320" spans="10:11" x14ac:dyDescent="0.35">
      <c r="J320" s="4" t="s">
        <v>341</v>
      </c>
      <c r="K320" s="6">
        <v>2045</v>
      </c>
    </row>
    <row r="321" spans="10:11" x14ac:dyDescent="0.35">
      <c r="J321" s="4" t="s">
        <v>338</v>
      </c>
      <c r="K321" s="6">
        <v>2045</v>
      </c>
    </row>
    <row r="322" spans="10:11" x14ac:dyDescent="0.35">
      <c r="J322" s="4" t="s">
        <v>574</v>
      </c>
      <c r="K322" s="6">
        <v>2037</v>
      </c>
    </row>
    <row r="323" spans="10:11" x14ac:dyDescent="0.35">
      <c r="J323" s="4" t="s">
        <v>575</v>
      </c>
      <c r="K323" s="6">
        <v>2037</v>
      </c>
    </row>
    <row r="324" spans="10:11" x14ac:dyDescent="0.35">
      <c r="J324" s="4" t="s">
        <v>182</v>
      </c>
      <c r="K324" s="6">
        <v>2026</v>
      </c>
    </row>
    <row r="325" spans="10:11" x14ac:dyDescent="0.35">
      <c r="J325" s="4" t="s">
        <v>590</v>
      </c>
      <c r="K325" s="6">
        <v>2015</v>
      </c>
    </row>
    <row r="326" spans="10:11" x14ac:dyDescent="0.35">
      <c r="J326" s="4" t="s">
        <v>251</v>
      </c>
      <c r="K326" s="6">
        <v>2002</v>
      </c>
    </row>
    <row r="327" spans="10:11" x14ac:dyDescent="0.35">
      <c r="J327" s="4" t="s">
        <v>306</v>
      </c>
      <c r="K327" s="6">
        <v>1996</v>
      </c>
    </row>
    <row r="328" spans="10:11" x14ac:dyDescent="0.35">
      <c r="J328" s="4" t="s">
        <v>305</v>
      </c>
      <c r="K328" s="6">
        <v>1996</v>
      </c>
    </row>
    <row r="329" spans="10:11" x14ac:dyDescent="0.35">
      <c r="J329" s="4" t="s">
        <v>307</v>
      </c>
      <c r="K329" s="6">
        <v>1996</v>
      </c>
    </row>
    <row r="330" spans="10:11" x14ac:dyDescent="0.35">
      <c r="J330" s="4" t="s">
        <v>329</v>
      </c>
      <c r="K330" s="6">
        <v>1992</v>
      </c>
    </row>
    <row r="331" spans="10:11" x14ac:dyDescent="0.35">
      <c r="J331" s="4" t="s">
        <v>227</v>
      </c>
      <c r="K331" s="6">
        <v>1989</v>
      </c>
    </row>
    <row r="332" spans="10:11" x14ac:dyDescent="0.35">
      <c r="J332" s="4" t="s">
        <v>427</v>
      </c>
      <c r="K332" s="6">
        <v>1983</v>
      </c>
    </row>
    <row r="333" spans="10:11" x14ac:dyDescent="0.35">
      <c r="J333" s="4" t="s">
        <v>702</v>
      </c>
      <c r="K333" s="6">
        <v>1982</v>
      </c>
    </row>
    <row r="334" spans="10:11" x14ac:dyDescent="0.35">
      <c r="J334" s="4" t="s">
        <v>270</v>
      </c>
      <c r="K334" s="6">
        <v>1981</v>
      </c>
    </row>
    <row r="335" spans="10:11" x14ac:dyDescent="0.35">
      <c r="J335" s="4" t="s">
        <v>269</v>
      </c>
      <c r="K335" s="6">
        <v>1981</v>
      </c>
    </row>
    <row r="336" spans="10:11" x14ac:dyDescent="0.35">
      <c r="J336" s="4" t="s">
        <v>753</v>
      </c>
      <c r="K336" s="6">
        <v>1969</v>
      </c>
    </row>
    <row r="337" spans="10:11" x14ac:dyDescent="0.35">
      <c r="J337" s="4" t="s">
        <v>787</v>
      </c>
      <c r="K337" s="6">
        <v>1968</v>
      </c>
    </row>
    <row r="338" spans="10:11" x14ac:dyDescent="0.35">
      <c r="J338" s="4" t="s">
        <v>287</v>
      </c>
      <c r="K338" s="6">
        <v>1951</v>
      </c>
    </row>
    <row r="339" spans="10:11" x14ac:dyDescent="0.35">
      <c r="J339" s="4" t="s">
        <v>288</v>
      </c>
      <c r="K339" s="6">
        <v>1951</v>
      </c>
    </row>
    <row r="340" spans="10:11" x14ac:dyDescent="0.35">
      <c r="J340" s="4" t="s">
        <v>289</v>
      </c>
      <c r="K340" s="6">
        <v>1951</v>
      </c>
    </row>
    <row r="341" spans="10:11" x14ac:dyDescent="0.35">
      <c r="J341" s="4" t="s">
        <v>624</v>
      </c>
      <c r="K341" s="6">
        <v>1943</v>
      </c>
    </row>
    <row r="342" spans="10:11" x14ac:dyDescent="0.35">
      <c r="J342" s="4" t="s">
        <v>456</v>
      </c>
      <c r="K342" s="6">
        <v>1940</v>
      </c>
    </row>
    <row r="343" spans="10:11" x14ac:dyDescent="0.35">
      <c r="J343" s="4" t="s">
        <v>120</v>
      </c>
      <c r="K343" s="6">
        <v>1930</v>
      </c>
    </row>
    <row r="344" spans="10:11" x14ac:dyDescent="0.35">
      <c r="J344" s="4" t="s">
        <v>119</v>
      </c>
      <c r="K344" s="6">
        <v>1930</v>
      </c>
    </row>
    <row r="345" spans="10:11" x14ac:dyDescent="0.35">
      <c r="J345" s="4" t="s">
        <v>496</v>
      </c>
      <c r="K345" s="6">
        <v>1928</v>
      </c>
    </row>
    <row r="346" spans="10:11" x14ac:dyDescent="0.35">
      <c r="J346" s="4" t="s">
        <v>453</v>
      </c>
      <c r="K346" s="6">
        <v>1927</v>
      </c>
    </row>
    <row r="347" spans="10:11" x14ac:dyDescent="0.35">
      <c r="J347" s="4" t="s">
        <v>146</v>
      </c>
      <c r="K347" s="6">
        <v>1903</v>
      </c>
    </row>
    <row r="348" spans="10:11" x14ac:dyDescent="0.35">
      <c r="J348" s="4" t="s">
        <v>73</v>
      </c>
      <c r="K348" s="6">
        <v>1897</v>
      </c>
    </row>
    <row r="349" spans="10:11" x14ac:dyDescent="0.35">
      <c r="J349" s="4" t="s">
        <v>482</v>
      </c>
      <c r="K349" s="6">
        <v>1896</v>
      </c>
    </row>
    <row r="350" spans="10:11" x14ac:dyDescent="0.35">
      <c r="J350" s="4" t="s">
        <v>358</v>
      </c>
      <c r="K350" s="6">
        <v>1841</v>
      </c>
    </row>
    <row r="351" spans="10:11" x14ac:dyDescent="0.35">
      <c r="J351" s="4" t="s">
        <v>359</v>
      </c>
      <c r="K351" s="6">
        <v>1841</v>
      </c>
    </row>
    <row r="352" spans="10:11" x14ac:dyDescent="0.35">
      <c r="J352" s="4" t="s">
        <v>336</v>
      </c>
      <c r="K352" s="6">
        <v>1830</v>
      </c>
    </row>
    <row r="353" spans="10:11" x14ac:dyDescent="0.35">
      <c r="J353" s="4" t="s">
        <v>335</v>
      </c>
      <c r="K353" s="6">
        <v>1830</v>
      </c>
    </row>
    <row r="354" spans="10:11" x14ac:dyDescent="0.35">
      <c r="J354" s="4" t="s">
        <v>42</v>
      </c>
      <c r="K354" s="6">
        <v>1821</v>
      </c>
    </row>
    <row r="355" spans="10:11" x14ac:dyDescent="0.35">
      <c r="J355" s="4" t="s">
        <v>429</v>
      </c>
      <c r="K355" s="6">
        <v>1801</v>
      </c>
    </row>
    <row r="356" spans="10:11" x14ac:dyDescent="0.35">
      <c r="J356" s="4" t="s">
        <v>430</v>
      </c>
      <c r="K356" s="6">
        <v>1801</v>
      </c>
    </row>
    <row r="357" spans="10:11" x14ac:dyDescent="0.35">
      <c r="J357" s="4" t="s">
        <v>323</v>
      </c>
      <c r="K357" s="6">
        <v>1791</v>
      </c>
    </row>
    <row r="358" spans="10:11" x14ac:dyDescent="0.35">
      <c r="J358" s="4" t="s">
        <v>324</v>
      </c>
      <c r="K358" s="6">
        <v>1791</v>
      </c>
    </row>
    <row r="359" spans="10:11" x14ac:dyDescent="0.35">
      <c r="J359" s="4" t="s">
        <v>322</v>
      </c>
      <c r="K359" s="6">
        <v>1791</v>
      </c>
    </row>
    <row r="360" spans="10:11" x14ac:dyDescent="0.35">
      <c r="J360" s="4" t="s">
        <v>759</v>
      </c>
      <c r="K360" s="6">
        <v>1789</v>
      </c>
    </row>
    <row r="361" spans="10:11" x14ac:dyDescent="0.35">
      <c r="J361" s="4" t="s">
        <v>784</v>
      </c>
      <c r="K361" s="6">
        <v>1778</v>
      </c>
    </row>
    <row r="362" spans="10:11" x14ac:dyDescent="0.35">
      <c r="J362" s="4" t="s">
        <v>795</v>
      </c>
      <c r="K362" s="6">
        <v>1771</v>
      </c>
    </row>
    <row r="363" spans="10:11" x14ac:dyDescent="0.35">
      <c r="J363" s="4" t="s">
        <v>796</v>
      </c>
      <c r="K363" s="6">
        <v>1771</v>
      </c>
    </row>
    <row r="364" spans="10:11" x14ac:dyDescent="0.35">
      <c r="J364" s="4" t="s">
        <v>354</v>
      </c>
      <c r="K364" s="6">
        <v>1764</v>
      </c>
    </row>
    <row r="365" spans="10:11" x14ac:dyDescent="0.35">
      <c r="J365" s="4" t="s">
        <v>353</v>
      </c>
      <c r="K365" s="6">
        <v>1764</v>
      </c>
    </row>
    <row r="366" spans="10:11" x14ac:dyDescent="0.35">
      <c r="J366" s="4" t="s">
        <v>275</v>
      </c>
      <c r="K366" s="6">
        <v>1753</v>
      </c>
    </row>
    <row r="367" spans="10:11" x14ac:dyDescent="0.35">
      <c r="J367" s="4" t="s">
        <v>547</v>
      </c>
      <c r="K367" s="6">
        <v>1751</v>
      </c>
    </row>
    <row r="368" spans="10:11" x14ac:dyDescent="0.35">
      <c r="J368" s="4" t="s">
        <v>546</v>
      </c>
      <c r="K368" s="6">
        <v>1751</v>
      </c>
    </row>
    <row r="369" spans="10:11" x14ac:dyDescent="0.35">
      <c r="J369" s="4" t="s">
        <v>625</v>
      </c>
      <c r="K369" s="6">
        <v>1749</v>
      </c>
    </row>
    <row r="370" spans="10:11" x14ac:dyDescent="0.35">
      <c r="J370" s="4" t="s">
        <v>626</v>
      </c>
      <c r="K370" s="6">
        <v>1749</v>
      </c>
    </row>
    <row r="371" spans="10:11" x14ac:dyDescent="0.35">
      <c r="J371" s="4" t="s">
        <v>568</v>
      </c>
      <c r="K371" s="6">
        <v>1743</v>
      </c>
    </row>
    <row r="372" spans="10:11" x14ac:dyDescent="0.35">
      <c r="J372" s="4" t="s">
        <v>398</v>
      </c>
      <c r="K372" s="6">
        <v>1740</v>
      </c>
    </row>
    <row r="373" spans="10:11" x14ac:dyDescent="0.35">
      <c r="J373" s="4" t="s">
        <v>66</v>
      </c>
      <c r="K373" s="6">
        <v>1736</v>
      </c>
    </row>
    <row r="374" spans="10:11" x14ac:dyDescent="0.35">
      <c r="J374" s="4" t="s">
        <v>65</v>
      </c>
      <c r="K374" s="6">
        <v>1736</v>
      </c>
    </row>
    <row r="375" spans="10:11" x14ac:dyDescent="0.35">
      <c r="J375" s="4" t="s">
        <v>443</v>
      </c>
      <c r="K375" s="6">
        <v>1728</v>
      </c>
    </row>
    <row r="376" spans="10:11" x14ac:dyDescent="0.35">
      <c r="J376" s="4" t="s">
        <v>464</v>
      </c>
      <c r="K376" s="6">
        <v>1724</v>
      </c>
    </row>
    <row r="377" spans="10:11" x14ac:dyDescent="0.35">
      <c r="J377" s="4" t="s">
        <v>502</v>
      </c>
      <c r="K377" s="6">
        <v>1704</v>
      </c>
    </row>
    <row r="378" spans="10:11" x14ac:dyDescent="0.35">
      <c r="J378" s="4" t="s">
        <v>600</v>
      </c>
      <c r="K378" s="6">
        <v>1704</v>
      </c>
    </row>
    <row r="379" spans="10:11" x14ac:dyDescent="0.35">
      <c r="J379" s="4" t="s">
        <v>246</v>
      </c>
      <c r="K379" s="6">
        <v>1693</v>
      </c>
    </row>
    <row r="380" spans="10:11" x14ac:dyDescent="0.35">
      <c r="J380" s="4" t="s">
        <v>692</v>
      </c>
      <c r="K380" s="6">
        <v>1686</v>
      </c>
    </row>
    <row r="381" spans="10:11" x14ac:dyDescent="0.35">
      <c r="J381" s="4" t="s">
        <v>690</v>
      </c>
      <c r="K381" s="6">
        <v>1686</v>
      </c>
    </row>
    <row r="382" spans="10:11" x14ac:dyDescent="0.35">
      <c r="J382" s="4" t="s">
        <v>735</v>
      </c>
      <c r="K382" s="6">
        <v>1686</v>
      </c>
    </row>
    <row r="383" spans="10:11" x14ac:dyDescent="0.35">
      <c r="J383" s="4" t="s">
        <v>691</v>
      </c>
      <c r="K383" s="6">
        <v>1686</v>
      </c>
    </row>
    <row r="384" spans="10:11" x14ac:dyDescent="0.35">
      <c r="J384" s="4" t="s">
        <v>476</v>
      </c>
      <c r="K384" s="6">
        <v>1680</v>
      </c>
    </row>
    <row r="385" spans="10:11" x14ac:dyDescent="0.35">
      <c r="J385" s="4" t="s">
        <v>510</v>
      </c>
      <c r="K385" s="6">
        <v>1666</v>
      </c>
    </row>
    <row r="386" spans="10:11" x14ac:dyDescent="0.35">
      <c r="J386" s="4" t="s">
        <v>434</v>
      </c>
      <c r="K386" s="6">
        <v>1665</v>
      </c>
    </row>
    <row r="387" spans="10:11" x14ac:dyDescent="0.35">
      <c r="J387" s="4" t="s">
        <v>433</v>
      </c>
      <c r="K387" s="6">
        <v>1665</v>
      </c>
    </row>
    <row r="388" spans="10:11" x14ac:dyDescent="0.35">
      <c r="J388" s="4" t="s">
        <v>472</v>
      </c>
      <c r="K388" s="6">
        <v>1661</v>
      </c>
    </row>
    <row r="389" spans="10:11" x14ac:dyDescent="0.35">
      <c r="J389" s="4" t="s">
        <v>473</v>
      </c>
      <c r="K389" s="6">
        <v>1661</v>
      </c>
    </row>
    <row r="390" spans="10:11" x14ac:dyDescent="0.35">
      <c r="J390" s="4" t="s">
        <v>485</v>
      </c>
      <c r="K390" s="6">
        <v>1660</v>
      </c>
    </row>
    <row r="391" spans="10:11" x14ac:dyDescent="0.35">
      <c r="J391" s="4" t="s">
        <v>230</v>
      </c>
      <c r="K391" s="6">
        <v>1657</v>
      </c>
    </row>
    <row r="392" spans="10:11" x14ac:dyDescent="0.35">
      <c r="J392" s="4" t="s">
        <v>187</v>
      </c>
      <c r="K392" s="6">
        <v>1605</v>
      </c>
    </row>
    <row r="393" spans="10:11" x14ac:dyDescent="0.35">
      <c r="J393" s="4" t="s">
        <v>188</v>
      </c>
      <c r="K393" s="6">
        <v>1605</v>
      </c>
    </row>
    <row r="394" spans="10:11" x14ac:dyDescent="0.35">
      <c r="J394" s="4" t="s">
        <v>118</v>
      </c>
      <c r="K394" s="6">
        <v>1598</v>
      </c>
    </row>
    <row r="395" spans="10:11" x14ac:dyDescent="0.35">
      <c r="J395" s="4" t="s">
        <v>52</v>
      </c>
      <c r="K395" s="6">
        <v>1593</v>
      </c>
    </row>
    <row r="396" spans="10:11" x14ac:dyDescent="0.35">
      <c r="J396" s="4" t="s">
        <v>290</v>
      </c>
      <c r="K396" s="6">
        <v>1591</v>
      </c>
    </row>
    <row r="397" spans="10:11" x14ac:dyDescent="0.35">
      <c r="J397" s="4" t="s">
        <v>291</v>
      </c>
      <c r="K397" s="6">
        <v>1591</v>
      </c>
    </row>
    <row r="398" spans="10:11" x14ac:dyDescent="0.35">
      <c r="J398" s="4" t="s">
        <v>769</v>
      </c>
      <c r="K398" s="6">
        <v>1591</v>
      </c>
    </row>
    <row r="399" spans="10:11" x14ac:dyDescent="0.35">
      <c r="J399" s="4" t="s">
        <v>57</v>
      </c>
      <c r="K399" s="6">
        <v>1587</v>
      </c>
    </row>
    <row r="400" spans="10:11" x14ac:dyDescent="0.35">
      <c r="J400" s="4" t="s">
        <v>59</v>
      </c>
      <c r="K400" s="6">
        <v>1587</v>
      </c>
    </row>
    <row r="401" spans="10:11" x14ac:dyDescent="0.35">
      <c r="J401" s="4" t="s">
        <v>60</v>
      </c>
      <c r="K401" s="6">
        <v>1587</v>
      </c>
    </row>
    <row r="402" spans="10:11" x14ac:dyDescent="0.35">
      <c r="J402" s="4" t="s">
        <v>58</v>
      </c>
      <c r="K402" s="6">
        <v>1587</v>
      </c>
    </row>
    <row r="403" spans="10:11" x14ac:dyDescent="0.35">
      <c r="J403" s="4" t="s">
        <v>595</v>
      </c>
      <c r="K403" s="6">
        <v>1577</v>
      </c>
    </row>
    <row r="404" spans="10:11" x14ac:dyDescent="0.35">
      <c r="J404" s="4" t="s">
        <v>222</v>
      </c>
      <c r="K404" s="6">
        <v>1576</v>
      </c>
    </row>
    <row r="405" spans="10:11" x14ac:dyDescent="0.35">
      <c r="J405" s="4" t="s">
        <v>529</v>
      </c>
      <c r="K405" s="6">
        <v>1574</v>
      </c>
    </row>
    <row r="406" spans="10:11" x14ac:dyDescent="0.35">
      <c r="J406" s="4" t="s">
        <v>527</v>
      </c>
      <c r="K406" s="6">
        <v>1574</v>
      </c>
    </row>
    <row r="407" spans="10:11" x14ac:dyDescent="0.35">
      <c r="J407" s="4" t="s">
        <v>528</v>
      </c>
      <c r="K407" s="6">
        <v>1574</v>
      </c>
    </row>
    <row r="408" spans="10:11" x14ac:dyDescent="0.35">
      <c r="J408" s="4" t="s">
        <v>486</v>
      </c>
      <c r="K408" s="6">
        <v>1573</v>
      </c>
    </row>
    <row r="409" spans="10:11" x14ac:dyDescent="0.35">
      <c r="J409" s="4" t="s">
        <v>673</v>
      </c>
      <c r="K409" s="6">
        <v>1563</v>
      </c>
    </row>
    <row r="410" spans="10:11" x14ac:dyDescent="0.35">
      <c r="J410" s="4" t="s">
        <v>672</v>
      </c>
      <c r="K410" s="6">
        <v>1563</v>
      </c>
    </row>
    <row r="411" spans="10:11" x14ac:dyDescent="0.35">
      <c r="J411" s="4" t="s">
        <v>176</v>
      </c>
      <c r="K411" s="6">
        <v>1563</v>
      </c>
    </row>
    <row r="412" spans="10:11" x14ac:dyDescent="0.35">
      <c r="J412" s="4" t="s">
        <v>579</v>
      </c>
      <c r="K412" s="6">
        <v>1556</v>
      </c>
    </row>
    <row r="413" spans="10:11" x14ac:dyDescent="0.35">
      <c r="J413" s="4" t="s">
        <v>439</v>
      </c>
      <c r="K413" s="6">
        <v>1555</v>
      </c>
    </row>
    <row r="414" spans="10:11" x14ac:dyDescent="0.35">
      <c r="J414" s="4" t="s">
        <v>440</v>
      </c>
      <c r="K414" s="6">
        <v>1555</v>
      </c>
    </row>
    <row r="415" spans="10:11" x14ac:dyDescent="0.35">
      <c r="J415" s="4" t="s">
        <v>661</v>
      </c>
      <c r="K415" s="6">
        <v>1554</v>
      </c>
    </row>
    <row r="416" spans="10:11" x14ac:dyDescent="0.35">
      <c r="J416" s="4" t="s">
        <v>639</v>
      </c>
      <c r="K416" s="6">
        <v>1553</v>
      </c>
    </row>
    <row r="417" spans="10:11" x14ac:dyDescent="0.35">
      <c r="J417" s="4" t="s">
        <v>125</v>
      </c>
      <c r="K417" s="6">
        <v>1545</v>
      </c>
    </row>
    <row r="418" spans="10:11" x14ac:dyDescent="0.35">
      <c r="J418" s="4" t="s">
        <v>725</v>
      </c>
      <c r="K418" s="6">
        <v>1539</v>
      </c>
    </row>
    <row r="419" spans="10:11" x14ac:dyDescent="0.35">
      <c r="J419" s="4" t="s">
        <v>724</v>
      </c>
      <c r="K419" s="6">
        <v>1539</v>
      </c>
    </row>
    <row r="420" spans="10:11" x14ac:dyDescent="0.35">
      <c r="J420" s="4" t="s">
        <v>62</v>
      </c>
      <c r="K420" s="6">
        <v>1538</v>
      </c>
    </row>
    <row r="421" spans="10:11" x14ac:dyDescent="0.35">
      <c r="J421" s="4" t="s">
        <v>215</v>
      </c>
      <c r="K421" s="6">
        <v>1537</v>
      </c>
    </row>
    <row r="422" spans="10:11" x14ac:dyDescent="0.35">
      <c r="J422" s="4" t="s">
        <v>658</v>
      </c>
      <c r="K422" s="6">
        <v>1536</v>
      </c>
    </row>
    <row r="423" spans="10:11" x14ac:dyDescent="0.35">
      <c r="J423" s="4" t="s">
        <v>592</v>
      </c>
      <c r="K423" s="6">
        <v>1521</v>
      </c>
    </row>
    <row r="424" spans="10:11" x14ac:dyDescent="0.35">
      <c r="J424" s="4" t="s">
        <v>351</v>
      </c>
      <c r="K424" s="6">
        <v>1495</v>
      </c>
    </row>
    <row r="425" spans="10:11" x14ac:dyDescent="0.35">
      <c r="J425" s="4" t="s">
        <v>352</v>
      </c>
      <c r="K425" s="6">
        <v>1495</v>
      </c>
    </row>
    <row r="426" spans="10:11" x14ac:dyDescent="0.35">
      <c r="J426" s="4" t="s">
        <v>535</v>
      </c>
      <c r="K426" s="6">
        <v>1494</v>
      </c>
    </row>
    <row r="427" spans="10:11" x14ac:dyDescent="0.35">
      <c r="J427" s="4" t="s">
        <v>727</v>
      </c>
      <c r="K427" s="6">
        <v>1485</v>
      </c>
    </row>
    <row r="428" spans="10:11" x14ac:dyDescent="0.35">
      <c r="J428" s="4" t="s">
        <v>371</v>
      </c>
      <c r="K428" s="6">
        <v>1481</v>
      </c>
    </row>
    <row r="429" spans="10:11" x14ac:dyDescent="0.35">
      <c r="J429" s="4" t="s">
        <v>367</v>
      </c>
      <c r="K429" s="6">
        <v>1477</v>
      </c>
    </row>
    <row r="430" spans="10:11" x14ac:dyDescent="0.35">
      <c r="J430" s="4" t="s">
        <v>366</v>
      </c>
      <c r="K430" s="6">
        <v>1477</v>
      </c>
    </row>
    <row r="431" spans="10:11" x14ac:dyDescent="0.35">
      <c r="J431" s="4" t="s">
        <v>365</v>
      </c>
      <c r="K431" s="6">
        <v>1453</v>
      </c>
    </row>
    <row r="432" spans="10:11" x14ac:dyDescent="0.35">
      <c r="J432" s="4" t="s">
        <v>637</v>
      </c>
      <c r="K432" s="6">
        <v>1451</v>
      </c>
    </row>
    <row r="433" spans="10:11" x14ac:dyDescent="0.35">
      <c r="J433" s="4" t="s">
        <v>387</v>
      </c>
      <c r="K433" s="6">
        <v>1450</v>
      </c>
    </row>
    <row r="434" spans="10:11" x14ac:dyDescent="0.35">
      <c r="J434" s="4" t="s">
        <v>481</v>
      </c>
      <c r="K434" s="6">
        <v>1439</v>
      </c>
    </row>
    <row r="435" spans="10:11" x14ac:dyDescent="0.35">
      <c r="J435" s="4" t="s">
        <v>503</v>
      </c>
      <c r="K435" s="6">
        <v>1430</v>
      </c>
    </row>
    <row r="436" spans="10:11" x14ac:dyDescent="0.35">
      <c r="J436" s="4" t="s">
        <v>566</v>
      </c>
      <c r="K436" s="6">
        <v>1430</v>
      </c>
    </row>
    <row r="437" spans="10:11" x14ac:dyDescent="0.35">
      <c r="J437" s="4" t="s">
        <v>565</v>
      </c>
      <c r="K437" s="6">
        <v>1430</v>
      </c>
    </row>
    <row r="438" spans="10:11" x14ac:dyDescent="0.35">
      <c r="J438" s="4" t="s">
        <v>564</v>
      </c>
      <c r="K438" s="6">
        <v>1430</v>
      </c>
    </row>
    <row r="439" spans="10:11" x14ac:dyDescent="0.35">
      <c r="J439" s="4" t="s">
        <v>355</v>
      </c>
      <c r="K439" s="6">
        <v>1423</v>
      </c>
    </row>
    <row r="440" spans="10:11" x14ac:dyDescent="0.35">
      <c r="J440" s="4" t="s">
        <v>209</v>
      </c>
      <c r="K440" s="6">
        <v>1423</v>
      </c>
    </row>
    <row r="441" spans="10:11" x14ac:dyDescent="0.35">
      <c r="J441" s="4" t="s">
        <v>210</v>
      </c>
      <c r="K441" s="6">
        <v>1423</v>
      </c>
    </row>
    <row r="442" spans="10:11" x14ac:dyDescent="0.35">
      <c r="J442" s="4" t="s">
        <v>450</v>
      </c>
      <c r="K442" s="6">
        <v>1415</v>
      </c>
    </row>
    <row r="443" spans="10:11" x14ac:dyDescent="0.35">
      <c r="J443" s="4" t="s">
        <v>451</v>
      </c>
      <c r="K443" s="6">
        <v>1415</v>
      </c>
    </row>
    <row r="444" spans="10:11" x14ac:dyDescent="0.35">
      <c r="J444" s="4" t="s">
        <v>736</v>
      </c>
      <c r="K444" s="6">
        <v>1390</v>
      </c>
    </row>
    <row r="445" spans="10:11" x14ac:dyDescent="0.35">
      <c r="J445" s="4" t="s">
        <v>252</v>
      </c>
      <c r="K445" s="6">
        <v>1386</v>
      </c>
    </row>
    <row r="446" spans="10:11" x14ac:dyDescent="0.35">
      <c r="J446" s="4" t="s">
        <v>165</v>
      </c>
      <c r="K446" s="6">
        <v>1385</v>
      </c>
    </row>
    <row r="447" spans="10:11" x14ac:dyDescent="0.35">
      <c r="J447" s="4" t="s">
        <v>533</v>
      </c>
      <c r="K447" s="6">
        <v>1381</v>
      </c>
    </row>
    <row r="448" spans="10:11" x14ac:dyDescent="0.35">
      <c r="J448" s="4" t="s">
        <v>223</v>
      </c>
      <c r="K448" s="6">
        <v>1380</v>
      </c>
    </row>
    <row r="449" spans="10:11" x14ac:dyDescent="0.35">
      <c r="J449" s="4" t="s">
        <v>369</v>
      </c>
      <c r="K449" s="6">
        <v>1377</v>
      </c>
    </row>
    <row r="450" spans="10:11" x14ac:dyDescent="0.35">
      <c r="J450" s="4" t="s">
        <v>32</v>
      </c>
      <c r="K450" s="6">
        <v>1360</v>
      </c>
    </row>
    <row r="451" spans="10:11" x14ac:dyDescent="0.35">
      <c r="J451" s="4" t="s">
        <v>676</v>
      </c>
      <c r="K451" s="6">
        <v>1354</v>
      </c>
    </row>
    <row r="452" spans="10:11" x14ac:dyDescent="0.35">
      <c r="J452" s="4" t="s">
        <v>677</v>
      </c>
      <c r="K452" s="6">
        <v>1354</v>
      </c>
    </row>
    <row r="453" spans="10:11" x14ac:dyDescent="0.35">
      <c r="J453" s="4" t="s">
        <v>674</v>
      </c>
      <c r="K453" s="6">
        <v>1354</v>
      </c>
    </row>
    <row r="454" spans="10:11" x14ac:dyDescent="0.35">
      <c r="J454" s="4" t="s">
        <v>675</v>
      </c>
      <c r="K454" s="6">
        <v>1354</v>
      </c>
    </row>
    <row r="455" spans="10:11" x14ac:dyDescent="0.35">
      <c r="J455" s="4" t="s">
        <v>392</v>
      </c>
      <c r="K455" s="6">
        <v>1353</v>
      </c>
    </row>
    <row r="456" spans="10:11" x14ac:dyDescent="0.35">
      <c r="J456" s="4" t="s">
        <v>393</v>
      </c>
      <c r="K456" s="6">
        <v>1353</v>
      </c>
    </row>
    <row r="457" spans="10:11" x14ac:dyDescent="0.35">
      <c r="J457" s="4" t="s">
        <v>91</v>
      </c>
      <c r="K457" s="6">
        <v>1351</v>
      </c>
    </row>
    <row r="458" spans="10:11" x14ac:dyDescent="0.35">
      <c r="J458" s="4" t="s">
        <v>90</v>
      </c>
      <c r="K458" s="6">
        <v>1351</v>
      </c>
    </row>
    <row r="459" spans="10:11" x14ac:dyDescent="0.35">
      <c r="J459" s="4" t="s">
        <v>321</v>
      </c>
      <c r="K459" s="6">
        <v>1346</v>
      </c>
    </row>
    <row r="460" spans="10:11" x14ac:dyDescent="0.35">
      <c r="J460" s="4" t="s">
        <v>350</v>
      </c>
      <c r="K460" s="6">
        <v>1341</v>
      </c>
    </row>
    <row r="461" spans="10:11" x14ac:dyDescent="0.35">
      <c r="J461" s="4" t="s">
        <v>349</v>
      </c>
      <c r="K461" s="6">
        <v>1341</v>
      </c>
    </row>
    <row r="462" spans="10:11" x14ac:dyDescent="0.35">
      <c r="J462" s="4" t="s">
        <v>317</v>
      </c>
      <c r="K462" s="6">
        <v>1335</v>
      </c>
    </row>
    <row r="463" spans="10:11" x14ac:dyDescent="0.35">
      <c r="J463" s="4" t="s">
        <v>316</v>
      </c>
      <c r="K463" s="6">
        <v>1335</v>
      </c>
    </row>
    <row r="464" spans="10:11" x14ac:dyDescent="0.35">
      <c r="J464" s="4" t="s">
        <v>782</v>
      </c>
      <c r="K464" s="6">
        <v>1335</v>
      </c>
    </row>
    <row r="465" spans="10:11" x14ac:dyDescent="0.35">
      <c r="J465" s="4" t="s">
        <v>781</v>
      </c>
      <c r="K465" s="6">
        <v>1335</v>
      </c>
    </row>
    <row r="466" spans="10:11" x14ac:dyDescent="0.35">
      <c r="J466" s="4" t="s">
        <v>807</v>
      </c>
      <c r="K466" s="6">
        <v>1334</v>
      </c>
    </row>
    <row r="467" spans="10:11" x14ac:dyDescent="0.35">
      <c r="J467" s="4" t="s">
        <v>814</v>
      </c>
      <c r="K467" s="6">
        <v>1330</v>
      </c>
    </row>
    <row r="468" spans="10:11" x14ac:dyDescent="0.35">
      <c r="J468" s="4" t="s">
        <v>815</v>
      </c>
      <c r="K468" s="6">
        <v>1330</v>
      </c>
    </row>
    <row r="469" spans="10:11" x14ac:dyDescent="0.35">
      <c r="J469" s="4" t="s">
        <v>558</v>
      </c>
      <c r="K469" s="6">
        <v>1318</v>
      </c>
    </row>
    <row r="470" spans="10:11" x14ac:dyDescent="0.35">
      <c r="J470" s="4" t="s">
        <v>630</v>
      </c>
      <c r="K470" s="6">
        <v>1253</v>
      </c>
    </row>
    <row r="471" spans="10:11" x14ac:dyDescent="0.35">
      <c r="J471" s="4" t="s">
        <v>684</v>
      </c>
      <c r="K471" s="6">
        <v>1246</v>
      </c>
    </row>
    <row r="472" spans="10:11" x14ac:dyDescent="0.35">
      <c r="J472" s="4" t="s">
        <v>683</v>
      </c>
      <c r="K472" s="6">
        <v>1246</v>
      </c>
    </row>
    <row r="473" spans="10:11" x14ac:dyDescent="0.35">
      <c r="J473" s="4" t="s">
        <v>385</v>
      </c>
      <c r="K473" s="6">
        <v>1241</v>
      </c>
    </row>
    <row r="474" spans="10:11" x14ac:dyDescent="0.35">
      <c r="J474" s="4" t="s">
        <v>384</v>
      </c>
      <c r="K474" s="6">
        <v>1241</v>
      </c>
    </row>
    <row r="475" spans="10:11" x14ac:dyDescent="0.35">
      <c r="J475" s="4" t="s">
        <v>330</v>
      </c>
      <c r="K475" s="6">
        <v>1226</v>
      </c>
    </row>
    <row r="476" spans="10:11" x14ac:dyDescent="0.35">
      <c r="J476" s="4" t="s">
        <v>524</v>
      </c>
      <c r="K476" s="6">
        <v>1223</v>
      </c>
    </row>
    <row r="477" spans="10:11" x14ac:dyDescent="0.35">
      <c r="J477" s="4" t="s">
        <v>525</v>
      </c>
      <c r="K477" s="6">
        <v>1223</v>
      </c>
    </row>
    <row r="478" spans="10:11" x14ac:dyDescent="0.35">
      <c r="J478" s="4" t="s">
        <v>746</v>
      </c>
      <c r="K478" s="6">
        <v>1214</v>
      </c>
    </row>
    <row r="479" spans="10:11" x14ac:dyDescent="0.35">
      <c r="J479" s="4" t="s">
        <v>601</v>
      </c>
      <c r="K479" s="6">
        <v>1211</v>
      </c>
    </row>
    <row r="480" spans="10:11" x14ac:dyDescent="0.35">
      <c r="J480" s="4" t="s">
        <v>681</v>
      </c>
      <c r="K480" s="6">
        <v>1206</v>
      </c>
    </row>
    <row r="481" spans="10:11" x14ac:dyDescent="0.35">
      <c r="J481" s="4" t="s">
        <v>755</v>
      </c>
      <c r="K481" s="6">
        <v>1202</v>
      </c>
    </row>
    <row r="482" spans="10:11" x14ac:dyDescent="0.35">
      <c r="J482" s="4" t="s">
        <v>436</v>
      </c>
      <c r="K482" s="6">
        <v>1192</v>
      </c>
    </row>
    <row r="483" spans="10:11" x14ac:dyDescent="0.35">
      <c r="J483" s="4" t="s">
        <v>437</v>
      </c>
      <c r="K483" s="6">
        <v>1192</v>
      </c>
    </row>
    <row r="484" spans="10:11" x14ac:dyDescent="0.35">
      <c r="J484" s="4" t="s">
        <v>728</v>
      </c>
      <c r="K484" s="6">
        <v>1180</v>
      </c>
    </row>
    <row r="485" spans="10:11" x14ac:dyDescent="0.35">
      <c r="J485" s="4" t="s">
        <v>43</v>
      </c>
      <c r="K485" s="6">
        <v>1180</v>
      </c>
    </row>
    <row r="486" spans="10:11" x14ac:dyDescent="0.35">
      <c r="J486" s="4" t="s">
        <v>331</v>
      </c>
      <c r="K486" s="6">
        <v>1171</v>
      </c>
    </row>
    <row r="487" spans="10:11" x14ac:dyDescent="0.35">
      <c r="J487" s="4" t="s">
        <v>333</v>
      </c>
      <c r="K487" s="6">
        <v>1171</v>
      </c>
    </row>
    <row r="488" spans="10:11" x14ac:dyDescent="0.35">
      <c r="J488" s="4" t="s">
        <v>334</v>
      </c>
      <c r="K488" s="6">
        <v>1171</v>
      </c>
    </row>
    <row r="489" spans="10:11" x14ac:dyDescent="0.35">
      <c r="J489" s="4" t="s">
        <v>332</v>
      </c>
      <c r="K489" s="6">
        <v>1171</v>
      </c>
    </row>
    <row r="490" spans="10:11" x14ac:dyDescent="0.35">
      <c r="J490" s="4" t="s">
        <v>532</v>
      </c>
      <c r="K490" s="6">
        <v>1159</v>
      </c>
    </row>
    <row r="491" spans="10:11" x14ac:dyDescent="0.35">
      <c r="J491" s="4" t="s">
        <v>256</v>
      </c>
      <c r="K491" s="6">
        <v>1157</v>
      </c>
    </row>
    <row r="492" spans="10:11" x14ac:dyDescent="0.35">
      <c r="J492" s="4" t="s">
        <v>255</v>
      </c>
      <c r="K492" s="6">
        <v>1157</v>
      </c>
    </row>
    <row r="493" spans="10:11" x14ac:dyDescent="0.35">
      <c r="J493" s="4" t="s">
        <v>254</v>
      </c>
      <c r="K493" s="6">
        <v>1157</v>
      </c>
    </row>
    <row r="494" spans="10:11" x14ac:dyDescent="0.35">
      <c r="J494" s="4" t="s">
        <v>180</v>
      </c>
      <c r="K494" s="6">
        <v>1152</v>
      </c>
    </row>
    <row r="495" spans="10:11" x14ac:dyDescent="0.35">
      <c r="J495" s="4" t="s">
        <v>247</v>
      </c>
      <c r="K495" s="6">
        <v>1151</v>
      </c>
    </row>
    <row r="496" spans="10:11" x14ac:dyDescent="0.35">
      <c r="J496" s="4" t="s">
        <v>157</v>
      </c>
      <c r="K496" s="6">
        <v>1149</v>
      </c>
    </row>
    <row r="497" spans="10:11" x14ac:dyDescent="0.35">
      <c r="J497" s="4" t="s">
        <v>428</v>
      </c>
      <c r="K497" s="6">
        <v>1148</v>
      </c>
    </row>
    <row r="498" spans="10:11" x14ac:dyDescent="0.35">
      <c r="J498" s="4" t="s">
        <v>628</v>
      </c>
      <c r="K498" s="6">
        <v>1134</v>
      </c>
    </row>
    <row r="499" spans="10:11" x14ac:dyDescent="0.35">
      <c r="J499" s="4" t="s">
        <v>206</v>
      </c>
      <c r="K499" s="6">
        <v>1133</v>
      </c>
    </row>
    <row r="500" spans="10:11" x14ac:dyDescent="0.35">
      <c r="J500" s="4" t="s">
        <v>567</v>
      </c>
      <c r="K500" s="6">
        <v>1127</v>
      </c>
    </row>
    <row r="501" spans="10:11" x14ac:dyDescent="0.35">
      <c r="J501" s="4" t="s">
        <v>297</v>
      </c>
      <c r="K501" s="6">
        <v>1118</v>
      </c>
    </row>
    <row r="502" spans="10:11" x14ac:dyDescent="0.35">
      <c r="J502" s="4" t="s">
        <v>509</v>
      </c>
      <c r="K502" s="6">
        <v>1100</v>
      </c>
    </row>
    <row r="503" spans="10:11" x14ac:dyDescent="0.35">
      <c r="J503" s="4" t="s">
        <v>508</v>
      </c>
      <c r="K503" s="6">
        <v>1100</v>
      </c>
    </row>
    <row r="504" spans="10:11" x14ac:dyDescent="0.35">
      <c r="J504" s="4" t="s">
        <v>396</v>
      </c>
      <c r="K504" s="6">
        <v>1094</v>
      </c>
    </row>
    <row r="505" spans="10:11" x14ac:dyDescent="0.35">
      <c r="J505" s="4" t="s">
        <v>395</v>
      </c>
      <c r="K505" s="6">
        <v>1094</v>
      </c>
    </row>
    <row r="506" spans="10:11" x14ac:dyDescent="0.35">
      <c r="J506" s="4" t="s">
        <v>193</v>
      </c>
      <c r="K506" s="6">
        <v>1090</v>
      </c>
    </row>
    <row r="507" spans="10:11" x14ac:dyDescent="0.35">
      <c r="J507" s="4" t="s">
        <v>192</v>
      </c>
      <c r="K507" s="6">
        <v>1090</v>
      </c>
    </row>
    <row r="508" spans="10:11" x14ac:dyDescent="0.35">
      <c r="J508" s="4" t="s">
        <v>411</v>
      </c>
      <c r="K508" s="6">
        <v>1076</v>
      </c>
    </row>
    <row r="509" spans="10:11" x14ac:dyDescent="0.35">
      <c r="J509" s="4" t="s">
        <v>156</v>
      </c>
      <c r="K509" s="6">
        <v>1066</v>
      </c>
    </row>
    <row r="510" spans="10:11" x14ac:dyDescent="0.35">
      <c r="J510" s="4" t="s">
        <v>798</v>
      </c>
      <c r="K510" s="6">
        <v>1057</v>
      </c>
    </row>
    <row r="511" spans="10:11" x14ac:dyDescent="0.35">
      <c r="J511" s="4" t="s">
        <v>797</v>
      </c>
      <c r="K511" s="6">
        <v>1057</v>
      </c>
    </row>
    <row r="512" spans="10:11" x14ac:dyDescent="0.35">
      <c r="J512" s="4" t="s">
        <v>298</v>
      </c>
      <c r="K512" s="6">
        <v>1041</v>
      </c>
    </row>
    <row r="513" spans="10:11" x14ac:dyDescent="0.35">
      <c r="J513" s="4" t="s">
        <v>737</v>
      </c>
      <c r="K513" s="6">
        <v>1039</v>
      </c>
    </row>
    <row r="514" spans="10:11" x14ac:dyDescent="0.35">
      <c r="J514" s="4" t="s">
        <v>738</v>
      </c>
      <c r="K514" s="6">
        <v>1039</v>
      </c>
    </row>
    <row r="515" spans="10:11" x14ac:dyDescent="0.35">
      <c r="J515" s="4" t="s">
        <v>739</v>
      </c>
      <c r="K515" s="6">
        <v>1039</v>
      </c>
    </row>
    <row r="516" spans="10:11" x14ac:dyDescent="0.35">
      <c r="J516" s="4" t="s">
        <v>136</v>
      </c>
      <c r="K516" s="6">
        <v>1029</v>
      </c>
    </row>
    <row r="517" spans="10:11" x14ac:dyDescent="0.35">
      <c r="J517" s="4" t="s">
        <v>688</v>
      </c>
      <c r="K517" s="6">
        <v>1012</v>
      </c>
    </row>
    <row r="518" spans="10:11" x14ac:dyDescent="0.35">
      <c r="J518" s="4" t="s">
        <v>379</v>
      </c>
      <c r="K518" s="6">
        <v>1010</v>
      </c>
    </row>
    <row r="519" spans="10:11" x14ac:dyDescent="0.35">
      <c r="J519" s="4" t="s">
        <v>497</v>
      </c>
      <c r="K519" s="6">
        <v>1008</v>
      </c>
    </row>
    <row r="520" spans="10:11" x14ac:dyDescent="0.35">
      <c r="J520" s="4" t="s">
        <v>791</v>
      </c>
      <c r="K520" s="6">
        <v>1001</v>
      </c>
    </row>
    <row r="521" spans="10:11" x14ac:dyDescent="0.35">
      <c r="J521" s="4" t="s">
        <v>792</v>
      </c>
      <c r="K521" s="6">
        <v>1001</v>
      </c>
    </row>
    <row r="522" spans="10:11" x14ac:dyDescent="0.35">
      <c r="J522" s="4" t="s">
        <v>770</v>
      </c>
      <c r="K522" s="6">
        <v>999</v>
      </c>
    </row>
    <row r="523" spans="10:11" x14ac:dyDescent="0.35">
      <c r="J523" s="4" t="s">
        <v>699</v>
      </c>
      <c r="K523" s="6">
        <v>999</v>
      </c>
    </row>
    <row r="524" spans="10:11" x14ac:dyDescent="0.35">
      <c r="J524" s="4" t="s">
        <v>301</v>
      </c>
      <c r="K524" s="6">
        <v>975</v>
      </c>
    </row>
    <row r="525" spans="10:11" x14ac:dyDescent="0.35">
      <c r="J525" s="4" t="s">
        <v>420</v>
      </c>
      <c r="K525" s="6">
        <v>970</v>
      </c>
    </row>
    <row r="526" spans="10:11" x14ac:dyDescent="0.35">
      <c r="J526" s="4" t="s">
        <v>421</v>
      </c>
      <c r="K526" s="6">
        <v>970</v>
      </c>
    </row>
    <row r="527" spans="10:11" x14ac:dyDescent="0.35">
      <c r="J527" s="4" t="s">
        <v>550</v>
      </c>
      <c r="K527" s="6">
        <v>965</v>
      </c>
    </row>
    <row r="528" spans="10:11" x14ac:dyDescent="0.35">
      <c r="J528" s="4" t="s">
        <v>549</v>
      </c>
      <c r="K528" s="6">
        <v>965</v>
      </c>
    </row>
    <row r="529" spans="10:11" x14ac:dyDescent="0.35">
      <c r="J529" s="4" t="s">
        <v>455</v>
      </c>
      <c r="K529" s="6">
        <v>961</v>
      </c>
    </row>
    <row r="530" spans="10:11" x14ac:dyDescent="0.35">
      <c r="J530" s="4" t="s">
        <v>454</v>
      </c>
      <c r="K530" s="6">
        <v>961</v>
      </c>
    </row>
    <row r="531" spans="10:11" x14ac:dyDescent="0.35">
      <c r="J531" s="4" t="s">
        <v>164</v>
      </c>
      <c r="K531" s="6">
        <v>958</v>
      </c>
    </row>
    <row r="532" spans="10:11" x14ac:dyDescent="0.35">
      <c r="J532" s="4" t="s">
        <v>162</v>
      </c>
      <c r="K532" s="6">
        <v>958</v>
      </c>
    </row>
    <row r="533" spans="10:11" x14ac:dyDescent="0.35">
      <c r="J533" s="4" t="s">
        <v>163</v>
      </c>
      <c r="K533" s="6">
        <v>958</v>
      </c>
    </row>
    <row r="534" spans="10:11" x14ac:dyDescent="0.35">
      <c r="J534" s="4" t="s">
        <v>435</v>
      </c>
      <c r="K534" s="6">
        <v>957</v>
      </c>
    </row>
    <row r="535" spans="10:11" x14ac:dyDescent="0.35">
      <c r="J535" s="4" t="s">
        <v>560</v>
      </c>
      <c r="K535" s="6">
        <v>950</v>
      </c>
    </row>
    <row r="536" spans="10:11" x14ac:dyDescent="0.35">
      <c r="J536" s="4" t="s">
        <v>500</v>
      </c>
      <c r="K536" s="6">
        <v>945</v>
      </c>
    </row>
    <row r="537" spans="10:11" x14ac:dyDescent="0.35">
      <c r="J537" s="4" t="s">
        <v>501</v>
      </c>
      <c r="K537" s="6">
        <v>945</v>
      </c>
    </row>
    <row r="538" spans="10:11" x14ac:dyDescent="0.35">
      <c r="J538" s="4" t="s">
        <v>647</v>
      </c>
      <c r="K538" s="6">
        <v>944</v>
      </c>
    </row>
    <row r="539" spans="10:11" x14ac:dyDescent="0.35">
      <c r="J539" s="4" t="s">
        <v>646</v>
      </c>
      <c r="K539" s="6">
        <v>944</v>
      </c>
    </row>
    <row r="540" spans="10:11" x14ac:dyDescent="0.35">
      <c r="J540" s="4" t="s">
        <v>645</v>
      </c>
      <c r="K540" s="6">
        <v>944</v>
      </c>
    </row>
    <row r="541" spans="10:11" x14ac:dyDescent="0.35">
      <c r="J541" s="4" t="s">
        <v>648</v>
      </c>
      <c r="K541" s="6">
        <v>944</v>
      </c>
    </row>
    <row r="542" spans="10:11" x14ac:dyDescent="0.35">
      <c r="J542" s="4" t="s">
        <v>649</v>
      </c>
      <c r="K542" s="6">
        <v>944</v>
      </c>
    </row>
    <row r="543" spans="10:11" x14ac:dyDescent="0.35">
      <c r="J543" s="4" t="s">
        <v>679</v>
      </c>
      <c r="K543" s="6">
        <v>941</v>
      </c>
    </row>
    <row r="544" spans="10:11" x14ac:dyDescent="0.35">
      <c r="J544" s="4" t="s">
        <v>678</v>
      </c>
      <c r="K544" s="6">
        <v>941</v>
      </c>
    </row>
    <row r="545" spans="10:11" x14ac:dyDescent="0.35">
      <c r="J545" s="4" t="s">
        <v>212</v>
      </c>
      <c r="K545" s="6">
        <v>937</v>
      </c>
    </row>
    <row r="546" spans="10:11" x14ac:dyDescent="0.35">
      <c r="J546" s="4" t="s">
        <v>487</v>
      </c>
      <c r="K546" s="6">
        <v>936</v>
      </c>
    </row>
    <row r="547" spans="10:11" x14ac:dyDescent="0.35">
      <c r="J547" s="4" t="s">
        <v>412</v>
      </c>
      <c r="K547" s="6">
        <v>936</v>
      </c>
    </row>
    <row r="548" spans="10:11" x14ac:dyDescent="0.35">
      <c r="J548" s="4" t="s">
        <v>414</v>
      </c>
      <c r="K548" s="6">
        <v>936</v>
      </c>
    </row>
    <row r="549" spans="10:11" x14ac:dyDescent="0.35">
      <c r="J549" s="4" t="s">
        <v>488</v>
      </c>
      <c r="K549" s="6">
        <v>936</v>
      </c>
    </row>
    <row r="550" spans="10:11" x14ac:dyDescent="0.35">
      <c r="J550" s="4" t="s">
        <v>413</v>
      </c>
      <c r="K550" s="6">
        <v>936</v>
      </c>
    </row>
    <row r="551" spans="10:11" x14ac:dyDescent="0.35">
      <c r="J551" s="4" t="s">
        <v>761</v>
      </c>
      <c r="K551" s="6">
        <v>936</v>
      </c>
    </row>
    <row r="552" spans="10:11" x14ac:dyDescent="0.35">
      <c r="J552" s="4" t="s">
        <v>762</v>
      </c>
      <c r="K552" s="6">
        <v>936</v>
      </c>
    </row>
    <row r="553" spans="10:11" x14ac:dyDescent="0.35">
      <c r="J553" s="4" t="s">
        <v>765</v>
      </c>
      <c r="K553" s="6">
        <v>933</v>
      </c>
    </row>
    <row r="554" spans="10:11" x14ac:dyDescent="0.35">
      <c r="J554" s="4" t="s">
        <v>130</v>
      </c>
      <c r="K554" s="6">
        <v>927</v>
      </c>
    </row>
    <row r="555" spans="10:11" x14ac:dyDescent="0.35">
      <c r="J555" s="4" t="s">
        <v>521</v>
      </c>
      <c r="K555" s="6">
        <v>921</v>
      </c>
    </row>
    <row r="556" spans="10:11" x14ac:dyDescent="0.35">
      <c r="J556" s="4" t="s">
        <v>522</v>
      </c>
      <c r="K556" s="6">
        <v>921</v>
      </c>
    </row>
    <row r="557" spans="10:11" x14ac:dyDescent="0.35">
      <c r="J557" s="4" t="s">
        <v>491</v>
      </c>
      <c r="K557" s="6">
        <v>917</v>
      </c>
    </row>
    <row r="558" spans="10:11" x14ac:dyDescent="0.35">
      <c r="J558" s="4" t="s">
        <v>698</v>
      </c>
      <c r="K558" s="6">
        <v>914</v>
      </c>
    </row>
    <row r="559" spans="10:11" x14ac:dyDescent="0.35">
      <c r="J559" s="4" t="s">
        <v>697</v>
      </c>
      <c r="K559" s="6">
        <v>914</v>
      </c>
    </row>
    <row r="560" spans="10:11" x14ac:dyDescent="0.35">
      <c r="J560" s="4" t="s">
        <v>812</v>
      </c>
      <c r="K560" s="6">
        <v>907</v>
      </c>
    </row>
    <row r="561" spans="10:11" x14ac:dyDescent="0.35">
      <c r="J561" s="4" t="s">
        <v>248</v>
      </c>
      <c r="K561" s="6">
        <v>898</v>
      </c>
    </row>
    <row r="562" spans="10:11" x14ac:dyDescent="0.35">
      <c r="J562" s="4" t="s">
        <v>249</v>
      </c>
      <c r="K562" s="6">
        <v>898</v>
      </c>
    </row>
    <row r="563" spans="10:11" x14ac:dyDescent="0.35">
      <c r="J563" s="4" t="s">
        <v>705</v>
      </c>
      <c r="K563" s="6">
        <v>897</v>
      </c>
    </row>
    <row r="564" spans="10:11" x14ac:dyDescent="0.35">
      <c r="J564" s="4" t="s">
        <v>706</v>
      </c>
      <c r="K564" s="6">
        <v>897</v>
      </c>
    </row>
    <row r="565" spans="10:11" x14ac:dyDescent="0.35">
      <c r="J565" s="4" t="s">
        <v>707</v>
      </c>
      <c r="K565" s="6">
        <v>897</v>
      </c>
    </row>
    <row r="566" spans="10:11" x14ac:dyDescent="0.35">
      <c r="J566" s="4" t="s">
        <v>800</v>
      </c>
      <c r="K566" s="6">
        <v>893</v>
      </c>
    </row>
    <row r="567" spans="10:11" x14ac:dyDescent="0.35">
      <c r="J567" s="4" t="s">
        <v>799</v>
      </c>
      <c r="K567" s="6">
        <v>893</v>
      </c>
    </row>
    <row r="568" spans="10:11" x14ac:dyDescent="0.35">
      <c r="J568" s="4" t="s">
        <v>801</v>
      </c>
      <c r="K568" s="6">
        <v>893</v>
      </c>
    </row>
    <row r="569" spans="10:11" x14ac:dyDescent="0.35">
      <c r="J569" s="4" t="s">
        <v>418</v>
      </c>
      <c r="K569" s="6">
        <v>867</v>
      </c>
    </row>
    <row r="570" spans="10:11" x14ac:dyDescent="0.35">
      <c r="J570" s="4" t="s">
        <v>708</v>
      </c>
      <c r="K570" s="6">
        <v>867</v>
      </c>
    </row>
    <row r="571" spans="10:11" x14ac:dyDescent="0.35">
      <c r="J571" s="4" t="s">
        <v>417</v>
      </c>
      <c r="K571" s="6">
        <v>867</v>
      </c>
    </row>
    <row r="572" spans="10:11" x14ac:dyDescent="0.35">
      <c r="J572" s="4" t="s">
        <v>810</v>
      </c>
      <c r="K572" s="6">
        <v>848</v>
      </c>
    </row>
    <row r="573" spans="10:11" x14ac:dyDescent="0.35">
      <c r="J573" s="4" t="s">
        <v>811</v>
      </c>
      <c r="K573" s="6">
        <v>848</v>
      </c>
    </row>
    <row r="574" spans="10:11" x14ac:dyDescent="0.35">
      <c r="J574" s="4" t="s">
        <v>657</v>
      </c>
      <c r="K574" s="6">
        <v>848</v>
      </c>
    </row>
    <row r="575" spans="10:11" x14ac:dyDescent="0.35">
      <c r="J575" s="4" t="s">
        <v>284</v>
      </c>
      <c r="K575" s="6">
        <v>847</v>
      </c>
    </row>
    <row r="576" spans="10:11" x14ac:dyDescent="0.35">
      <c r="J576" s="4" t="s">
        <v>283</v>
      </c>
      <c r="K576" s="6">
        <v>847</v>
      </c>
    </row>
    <row r="577" spans="10:11" x14ac:dyDescent="0.35">
      <c r="J577" s="4" t="s">
        <v>213</v>
      </c>
      <c r="K577" s="6">
        <v>821</v>
      </c>
    </row>
    <row r="578" spans="10:11" x14ac:dyDescent="0.35">
      <c r="J578" s="4" t="s">
        <v>368</v>
      </c>
      <c r="K578" s="6">
        <v>813</v>
      </c>
    </row>
    <row r="579" spans="10:11" x14ac:dyDescent="0.35">
      <c r="J579" s="4" t="s">
        <v>505</v>
      </c>
      <c r="K579" s="6">
        <v>808</v>
      </c>
    </row>
    <row r="580" spans="10:11" x14ac:dyDescent="0.35">
      <c r="J580" s="4" t="s">
        <v>504</v>
      </c>
      <c r="K580" s="6">
        <v>808</v>
      </c>
    </row>
    <row r="581" spans="10:11" x14ac:dyDescent="0.35">
      <c r="J581" s="4" t="s">
        <v>238</v>
      </c>
      <c r="K581" s="6">
        <v>804</v>
      </c>
    </row>
    <row r="582" spans="10:11" x14ac:dyDescent="0.35">
      <c r="J582" s="4" t="s">
        <v>237</v>
      </c>
      <c r="K582" s="6">
        <v>804</v>
      </c>
    </row>
    <row r="583" spans="10:11" x14ac:dyDescent="0.35">
      <c r="J583" s="4" t="s">
        <v>236</v>
      </c>
      <c r="K583" s="6">
        <v>804</v>
      </c>
    </row>
    <row r="584" spans="10:11" x14ac:dyDescent="0.35">
      <c r="J584" s="4" t="s">
        <v>235</v>
      </c>
      <c r="K584" s="6">
        <v>804</v>
      </c>
    </row>
    <row r="585" spans="10:11" x14ac:dyDescent="0.35">
      <c r="J585" s="4" t="s">
        <v>234</v>
      </c>
      <c r="K585" s="6">
        <v>804</v>
      </c>
    </row>
    <row r="586" spans="10:11" x14ac:dyDescent="0.35">
      <c r="J586" s="4" t="s">
        <v>763</v>
      </c>
      <c r="K586" s="6">
        <v>802</v>
      </c>
    </row>
    <row r="587" spans="10:11" x14ac:dyDescent="0.35">
      <c r="J587" s="4" t="s">
        <v>382</v>
      </c>
      <c r="K587" s="6">
        <v>802</v>
      </c>
    </row>
    <row r="588" spans="10:11" x14ac:dyDescent="0.35">
      <c r="J588" s="4" t="s">
        <v>381</v>
      </c>
      <c r="K588" s="6">
        <v>802</v>
      </c>
    </row>
    <row r="589" spans="10:11" x14ac:dyDescent="0.35">
      <c r="J589" s="4" t="s">
        <v>539</v>
      </c>
      <c r="K589" s="6">
        <v>800</v>
      </c>
    </row>
    <row r="590" spans="10:11" x14ac:dyDescent="0.35">
      <c r="J590" s="4" t="s">
        <v>121</v>
      </c>
      <c r="K590" s="6">
        <v>793</v>
      </c>
    </row>
    <row r="591" spans="10:11" x14ac:dyDescent="0.35">
      <c r="J591" s="4" t="s">
        <v>610</v>
      </c>
      <c r="K591" s="6">
        <v>781</v>
      </c>
    </row>
    <row r="592" spans="10:11" x14ac:dyDescent="0.35">
      <c r="J592" s="4" t="s">
        <v>670</v>
      </c>
      <c r="K592" s="6">
        <v>767</v>
      </c>
    </row>
    <row r="593" spans="10:11" x14ac:dyDescent="0.35">
      <c r="J593" s="4" t="s">
        <v>671</v>
      </c>
      <c r="K593" s="6">
        <v>767</v>
      </c>
    </row>
    <row r="594" spans="10:11" x14ac:dyDescent="0.35">
      <c r="J594" s="4" t="s">
        <v>46</v>
      </c>
      <c r="K594" s="6">
        <v>760</v>
      </c>
    </row>
    <row r="595" spans="10:11" x14ac:dyDescent="0.35">
      <c r="J595" s="4" t="s">
        <v>45</v>
      </c>
      <c r="K595" s="6">
        <v>760</v>
      </c>
    </row>
    <row r="596" spans="10:11" x14ac:dyDescent="0.35">
      <c r="J596" s="4" t="s">
        <v>636</v>
      </c>
      <c r="K596" s="6">
        <v>749</v>
      </c>
    </row>
    <row r="597" spans="10:11" x14ac:dyDescent="0.35">
      <c r="J597" s="4" t="s">
        <v>635</v>
      </c>
      <c r="K597" s="6">
        <v>749</v>
      </c>
    </row>
    <row r="598" spans="10:11" x14ac:dyDescent="0.35">
      <c r="J598" s="4" t="s">
        <v>602</v>
      </c>
      <c r="K598" s="6">
        <v>743</v>
      </c>
    </row>
    <row r="599" spans="10:11" x14ac:dyDescent="0.35">
      <c r="J599" s="4" t="s">
        <v>26</v>
      </c>
      <c r="K599" s="6">
        <v>734</v>
      </c>
    </row>
    <row r="600" spans="10:11" x14ac:dyDescent="0.35">
      <c r="J600" s="4" t="s">
        <v>551</v>
      </c>
      <c r="K600" s="6">
        <v>734</v>
      </c>
    </row>
    <row r="601" spans="10:11" x14ac:dyDescent="0.35">
      <c r="J601" s="4" t="s">
        <v>696</v>
      </c>
      <c r="K601" s="6">
        <v>728</v>
      </c>
    </row>
    <row r="602" spans="10:11" x14ac:dyDescent="0.35">
      <c r="J602" s="4" t="s">
        <v>214</v>
      </c>
      <c r="K602" s="6">
        <v>727</v>
      </c>
    </row>
    <row r="603" spans="10:11" x14ac:dyDescent="0.35">
      <c r="J603" s="4" t="s">
        <v>76</v>
      </c>
      <c r="K603" s="6">
        <v>727</v>
      </c>
    </row>
    <row r="604" spans="10:11" x14ac:dyDescent="0.35">
      <c r="J604" s="4" t="s">
        <v>74</v>
      </c>
      <c r="K604" s="6">
        <v>727</v>
      </c>
    </row>
    <row r="605" spans="10:11" x14ac:dyDescent="0.35">
      <c r="J605" s="4" t="s">
        <v>75</v>
      </c>
      <c r="K605" s="6">
        <v>727</v>
      </c>
    </row>
    <row r="606" spans="10:11" x14ac:dyDescent="0.35">
      <c r="J606" s="4" t="s">
        <v>79</v>
      </c>
      <c r="K606" s="6">
        <v>718</v>
      </c>
    </row>
    <row r="607" spans="10:11" x14ac:dyDescent="0.35">
      <c r="J607" s="4" t="s">
        <v>731</v>
      </c>
      <c r="K607" s="6">
        <v>713</v>
      </c>
    </row>
    <row r="608" spans="10:11" x14ac:dyDescent="0.35">
      <c r="J608" s="4" t="s">
        <v>124</v>
      </c>
      <c r="K608" s="6">
        <v>713</v>
      </c>
    </row>
    <row r="609" spans="10:11" x14ac:dyDescent="0.35">
      <c r="J609" s="4" t="s">
        <v>729</v>
      </c>
      <c r="K609" s="6">
        <v>713</v>
      </c>
    </row>
    <row r="610" spans="10:11" x14ac:dyDescent="0.35">
      <c r="J610" s="4" t="s">
        <v>730</v>
      </c>
      <c r="K610" s="6">
        <v>713</v>
      </c>
    </row>
    <row r="611" spans="10:11" x14ac:dyDescent="0.35">
      <c r="J611" s="4" t="s">
        <v>754</v>
      </c>
      <c r="K611" s="6">
        <v>700</v>
      </c>
    </row>
    <row r="612" spans="10:11" x14ac:dyDescent="0.35">
      <c r="J612" s="4" t="s">
        <v>178</v>
      </c>
      <c r="K612" s="6">
        <v>699</v>
      </c>
    </row>
    <row r="613" spans="10:11" x14ac:dyDescent="0.35">
      <c r="J613" s="4" t="s">
        <v>67</v>
      </c>
      <c r="K613" s="6">
        <v>695</v>
      </c>
    </row>
    <row r="614" spans="10:11" x14ac:dyDescent="0.35">
      <c r="J614" s="4" t="s">
        <v>318</v>
      </c>
      <c r="K614" s="6">
        <v>691</v>
      </c>
    </row>
    <row r="615" spans="10:11" x14ac:dyDescent="0.35">
      <c r="J615" s="4" t="s">
        <v>438</v>
      </c>
      <c r="K615" s="6">
        <v>686</v>
      </c>
    </row>
    <row r="616" spans="10:11" x14ac:dyDescent="0.35">
      <c r="J616" s="4" t="s">
        <v>462</v>
      </c>
      <c r="K616" s="6">
        <v>673</v>
      </c>
    </row>
    <row r="617" spans="10:11" x14ac:dyDescent="0.35">
      <c r="J617" s="4" t="s">
        <v>612</v>
      </c>
      <c r="K617" s="6">
        <v>663</v>
      </c>
    </row>
    <row r="618" spans="10:11" x14ac:dyDescent="0.35">
      <c r="J618" s="4" t="s">
        <v>608</v>
      </c>
      <c r="K618" s="6">
        <v>661</v>
      </c>
    </row>
    <row r="619" spans="10:11" x14ac:dyDescent="0.35">
      <c r="J619" s="4" t="s">
        <v>154</v>
      </c>
      <c r="K619" s="6">
        <v>658</v>
      </c>
    </row>
    <row r="620" spans="10:11" x14ac:dyDescent="0.35">
      <c r="J620" s="4" t="s">
        <v>808</v>
      </c>
      <c r="K620" s="6">
        <v>658</v>
      </c>
    </row>
    <row r="621" spans="10:11" x14ac:dyDescent="0.35">
      <c r="J621" s="4" t="s">
        <v>376</v>
      </c>
      <c r="K621" s="6">
        <v>655</v>
      </c>
    </row>
    <row r="622" spans="10:11" x14ac:dyDescent="0.35">
      <c r="J622" s="4" t="s">
        <v>61</v>
      </c>
      <c r="K622" s="6">
        <v>648</v>
      </c>
    </row>
    <row r="623" spans="10:11" x14ac:dyDescent="0.35">
      <c r="J623" s="4" t="s">
        <v>829</v>
      </c>
      <c r="K623" s="6">
        <v>642</v>
      </c>
    </row>
    <row r="624" spans="10:11" x14ac:dyDescent="0.35">
      <c r="J624" s="4" t="s">
        <v>828</v>
      </c>
      <c r="K624" s="6">
        <v>642</v>
      </c>
    </row>
    <row r="625" spans="10:11" x14ac:dyDescent="0.35">
      <c r="J625" s="4" t="s">
        <v>827</v>
      </c>
      <c r="K625" s="6">
        <v>642</v>
      </c>
    </row>
    <row r="626" spans="10:11" x14ac:dyDescent="0.35">
      <c r="J626" s="4" t="s">
        <v>231</v>
      </c>
      <c r="K626" s="6">
        <v>633</v>
      </c>
    </row>
    <row r="627" spans="10:11" x14ac:dyDescent="0.35">
      <c r="J627" s="4" t="s">
        <v>232</v>
      </c>
      <c r="K627" s="6">
        <v>633</v>
      </c>
    </row>
    <row r="628" spans="10:11" x14ac:dyDescent="0.35">
      <c r="J628" s="4" t="s">
        <v>78</v>
      </c>
      <c r="K628" s="6">
        <v>622</v>
      </c>
    </row>
    <row r="629" spans="10:11" x14ac:dyDescent="0.35">
      <c r="J629" s="4" t="s">
        <v>77</v>
      </c>
      <c r="K629" s="6">
        <v>622</v>
      </c>
    </row>
    <row r="630" spans="10:11" x14ac:dyDescent="0.35">
      <c r="J630" s="4" t="s">
        <v>158</v>
      </c>
      <c r="K630" s="6">
        <v>615</v>
      </c>
    </row>
    <row r="631" spans="10:11" x14ac:dyDescent="0.35">
      <c r="J631" s="4" t="s">
        <v>629</v>
      </c>
      <c r="K631" s="6">
        <v>612</v>
      </c>
    </row>
    <row r="632" spans="10:11" x14ac:dyDescent="0.35">
      <c r="J632" s="4" t="s">
        <v>747</v>
      </c>
      <c r="K632" s="6">
        <v>611</v>
      </c>
    </row>
    <row r="633" spans="10:11" x14ac:dyDescent="0.35">
      <c r="J633" s="4" t="s">
        <v>709</v>
      </c>
      <c r="K633" s="6">
        <v>606</v>
      </c>
    </row>
    <row r="634" spans="10:11" x14ac:dyDescent="0.35">
      <c r="J634" s="4" t="s">
        <v>710</v>
      </c>
      <c r="K634" s="6">
        <v>606</v>
      </c>
    </row>
    <row r="635" spans="10:11" x14ac:dyDescent="0.35">
      <c r="J635" s="4" t="s">
        <v>506</v>
      </c>
      <c r="K635" s="6">
        <v>605</v>
      </c>
    </row>
    <row r="636" spans="10:11" x14ac:dyDescent="0.35">
      <c r="J636" s="4" t="s">
        <v>507</v>
      </c>
      <c r="K636" s="6">
        <v>605</v>
      </c>
    </row>
    <row r="637" spans="10:11" x14ac:dyDescent="0.35">
      <c r="J637" s="4" t="s">
        <v>203</v>
      </c>
      <c r="K637" s="6">
        <v>593</v>
      </c>
    </row>
    <row r="638" spans="10:11" x14ac:dyDescent="0.35">
      <c r="J638" s="4" t="s">
        <v>302</v>
      </c>
      <c r="K638" s="6">
        <v>590</v>
      </c>
    </row>
    <row r="639" spans="10:11" x14ac:dyDescent="0.35">
      <c r="J639" s="4" t="s">
        <v>89</v>
      </c>
      <c r="K639" s="6">
        <v>586</v>
      </c>
    </row>
    <row r="640" spans="10:11" x14ac:dyDescent="0.35">
      <c r="J640" s="4" t="s">
        <v>407</v>
      </c>
      <c r="K640" s="6">
        <v>584</v>
      </c>
    </row>
    <row r="641" spans="10:11" x14ac:dyDescent="0.35">
      <c r="J641" s="4" t="s">
        <v>406</v>
      </c>
      <c r="K641" s="6">
        <v>584</v>
      </c>
    </row>
    <row r="642" spans="10:11" x14ac:dyDescent="0.35">
      <c r="J642" s="4" t="s">
        <v>205</v>
      </c>
      <c r="K642" s="6">
        <v>571</v>
      </c>
    </row>
    <row r="643" spans="10:11" x14ac:dyDescent="0.35">
      <c r="J643" s="4" t="s">
        <v>211</v>
      </c>
      <c r="K643" s="6">
        <v>559</v>
      </c>
    </row>
    <row r="644" spans="10:11" x14ac:dyDescent="0.35">
      <c r="J644" s="4" t="s">
        <v>548</v>
      </c>
      <c r="K644" s="6">
        <v>557</v>
      </c>
    </row>
    <row r="645" spans="10:11" x14ac:dyDescent="0.35">
      <c r="J645" s="4" t="s">
        <v>480</v>
      </c>
      <c r="K645" s="6">
        <v>509</v>
      </c>
    </row>
    <row r="646" spans="10:11" x14ac:dyDescent="0.35">
      <c r="J646" s="4" t="s">
        <v>415</v>
      </c>
      <c r="K646" s="6">
        <v>505</v>
      </c>
    </row>
    <row r="647" spans="10:11" x14ac:dyDescent="0.35">
      <c r="J647" s="4" t="s">
        <v>563</v>
      </c>
      <c r="K647" s="6">
        <v>501</v>
      </c>
    </row>
    <row r="648" spans="10:11" x14ac:dyDescent="0.35">
      <c r="J648" s="4" t="s">
        <v>189</v>
      </c>
      <c r="K648" s="6">
        <v>487</v>
      </c>
    </row>
    <row r="649" spans="10:11" x14ac:dyDescent="0.35">
      <c r="J649" s="4" t="s">
        <v>190</v>
      </c>
      <c r="K649" s="6">
        <v>487</v>
      </c>
    </row>
    <row r="650" spans="10:11" x14ac:dyDescent="0.35">
      <c r="J650" s="4" t="s">
        <v>613</v>
      </c>
      <c r="K650" s="6">
        <v>485</v>
      </c>
    </row>
    <row r="651" spans="10:11" x14ac:dyDescent="0.35">
      <c r="J651" s="4" t="s">
        <v>614</v>
      </c>
      <c r="K651" s="6">
        <v>485</v>
      </c>
    </row>
    <row r="652" spans="10:11" x14ac:dyDescent="0.35">
      <c r="J652" s="4" t="s">
        <v>615</v>
      </c>
      <c r="K652" s="6">
        <v>485</v>
      </c>
    </row>
    <row r="653" spans="10:11" x14ac:dyDescent="0.35">
      <c r="J653" s="4" t="s">
        <v>416</v>
      </c>
      <c r="K653" s="6">
        <v>482</v>
      </c>
    </row>
    <row r="654" spans="10:11" x14ac:dyDescent="0.35">
      <c r="J654" s="4" t="s">
        <v>360</v>
      </c>
      <c r="K654" s="6">
        <v>482</v>
      </c>
    </row>
    <row r="655" spans="10:11" x14ac:dyDescent="0.35">
      <c r="J655" s="4" t="s">
        <v>452</v>
      </c>
      <c r="K655" s="6">
        <v>482</v>
      </c>
    </row>
    <row r="656" spans="10:11" x14ac:dyDescent="0.35">
      <c r="J656" s="4" t="s">
        <v>581</v>
      </c>
      <c r="K656" s="6">
        <v>481</v>
      </c>
    </row>
    <row r="657" spans="10:11" x14ac:dyDescent="0.35">
      <c r="J657" s="4" t="s">
        <v>580</v>
      </c>
      <c r="K657" s="6">
        <v>481</v>
      </c>
    </row>
    <row r="658" spans="10:11" x14ac:dyDescent="0.35">
      <c r="J658" s="4" t="s">
        <v>591</v>
      </c>
      <c r="K658" s="6">
        <v>480</v>
      </c>
    </row>
    <row r="659" spans="10:11" x14ac:dyDescent="0.35">
      <c r="J659" s="4" t="s">
        <v>634</v>
      </c>
      <c r="K659" s="6">
        <v>476</v>
      </c>
    </row>
    <row r="660" spans="10:11" x14ac:dyDescent="0.35">
      <c r="J660" s="4" t="s">
        <v>577</v>
      </c>
      <c r="K660" s="6">
        <v>471</v>
      </c>
    </row>
    <row r="661" spans="10:11" x14ac:dyDescent="0.35">
      <c r="J661" s="4" t="s">
        <v>576</v>
      </c>
      <c r="K661" s="6">
        <v>471</v>
      </c>
    </row>
    <row r="662" spans="10:11" x14ac:dyDescent="0.35">
      <c r="J662" s="4" t="s">
        <v>660</v>
      </c>
      <c r="K662" s="6">
        <v>467</v>
      </c>
    </row>
    <row r="663" spans="10:11" x14ac:dyDescent="0.35">
      <c r="J663" s="4" t="s">
        <v>28</v>
      </c>
      <c r="K663" s="6">
        <v>462</v>
      </c>
    </row>
    <row r="664" spans="10:11" x14ac:dyDescent="0.35">
      <c r="J664" s="4" t="s">
        <v>131</v>
      </c>
      <c r="K664" s="6">
        <v>457</v>
      </c>
    </row>
    <row r="665" spans="10:11" x14ac:dyDescent="0.35">
      <c r="J665" s="4" t="s">
        <v>760</v>
      </c>
      <c r="K665" s="6">
        <v>457</v>
      </c>
    </row>
    <row r="666" spans="10:11" x14ac:dyDescent="0.35">
      <c r="J666" s="4" t="s">
        <v>463</v>
      </c>
      <c r="K666" s="6">
        <v>444</v>
      </c>
    </row>
    <row r="667" spans="10:11" x14ac:dyDescent="0.35">
      <c r="J667" s="4" t="s">
        <v>620</v>
      </c>
      <c r="K667" s="6">
        <v>436</v>
      </c>
    </row>
    <row r="668" spans="10:11" x14ac:dyDescent="0.35">
      <c r="J668" s="4" t="s">
        <v>220</v>
      </c>
      <c r="K668" s="6">
        <v>432</v>
      </c>
    </row>
    <row r="669" spans="10:11" x14ac:dyDescent="0.35">
      <c r="J669" s="4" t="s">
        <v>523</v>
      </c>
      <c r="K669" s="6">
        <v>418</v>
      </c>
    </row>
    <row r="670" spans="10:11" x14ac:dyDescent="0.35">
      <c r="J670" s="4" t="s">
        <v>348</v>
      </c>
      <c r="K670" s="6">
        <v>413</v>
      </c>
    </row>
    <row r="671" spans="10:11" x14ac:dyDescent="0.35">
      <c r="J671" s="4" t="s">
        <v>173</v>
      </c>
      <c r="K671" s="6">
        <v>397</v>
      </c>
    </row>
    <row r="672" spans="10:11" x14ac:dyDescent="0.35">
      <c r="J672" s="4" t="s">
        <v>201</v>
      </c>
      <c r="K672" s="6">
        <v>391</v>
      </c>
    </row>
    <row r="673" spans="10:11" x14ac:dyDescent="0.35">
      <c r="J673" s="4" t="s">
        <v>817</v>
      </c>
      <c r="K673" s="6">
        <v>379</v>
      </c>
    </row>
    <row r="674" spans="10:11" x14ac:dyDescent="0.35">
      <c r="J674" s="4" t="s">
        <v>531</v>
      </c>
      <c r="K674" s="6">
        <v>379</v>
      </c>
    </row>
    <row r="675" spans="10:11" x14ac:dyDescent="0.35">
      <c r="J675" s="4" t="s">
        <v>818</v>
      </c>
      <c r="K675" s="6">
        <v>379</v>
      </c>
    </row>
    <row r="676" spans="10:11" x14ac:dyDescent="0.35">
      <c r="J676" s="4" t="s">
        <v>272</v>
      </c>
      <c r="K676" s="6">
        <v>375</v>
      </c>
    </row>
    <row r="677" spans="10:11" x14ac:dyDescent="0.35">
      <c r="J677" s="4" t="s">
        <v>682</v>
      </c>
      <c r="K677" s="6">
        <v>355</v>
      </c>
    </row>
    <row r="678" spans="10:11" x14ac:dyDescent="0.35">
      <c r="J678" s="4" t="s">
        <v>742</v>
      </c>
      <c r="K678" s="6">
        <v>355</v>
      </c>
    </row>
    <row r="679" spans="10:11" x14ac:dyDescent="0.35">
      <c r="J679" s="4" t="s">
        <v>740</v>
      </c>
      <c r="K679" s="6">
        <v>355</v>
      </c>
    </row>
    <row r="680" spans="10:11" x14ac:dyDescent="0.35">
      <c r="J680" s="4" t="s">
        <v>741</v>
      </c>
      <c r="K680" s="6">
        <v>355</v>
      </c>
    </row>
    <row r="681" spans="10:11" x14ac:dyDescent="0.35">
      <c r="J681" s="4" t="s">
        <v>169</v>
      </c>
      <c r="K681" s="6">
        <v>342</v>
      </c>
    </row>
    <row r="682" spans="10:11" x14ac:dyDescent="0.35">
      <c r="J682" s="4" t="s">
        <v>172</v>
      </c>
      <c r="K682" s="6">
        <v>342</v>
      </c>
    </row>
    <row r="683" spans="10:11" x14ac:dyDescent="0.35">
      <c r="J683" s="4" t="s">
        <v>621</v>
      </c>
      <c r="K683" s="6">
        <v>342</v>
      </c>
    </row>
    <row r="684" spans="10:11" x14ac:dyDescent="0.35">
      <c r="J684" s="4" t="s">
        <v>623</v>
      </c>
      <c r="K684" s="6">
        <v>342</v>
      </c>
    </row>
    <row r="685" spans="10:11" x14ac:dyDescent="0.35">
      <c r="J685" s="4" t="s">
        <v>170</v>
      </c>
      <c r="K685" s="6">
        <v>342</v>
      </c>
    </row>
    <row r="686" spans="10:11" x14ac:dyDescent="0.35">
      <c r="J686" s="4" t="s">
        <v>171</v>
      </c>
      <c r="K686" s="6">
        <v>342</v>
      </c>
    </row>
    <row r="687" spans="10:11" x14ac:dyDescent="0.35">
      <c r="J687" s="4" t="s">
        <v>622</v>
      </c>
      <c r="K687" s="6">
        <v>342</v>
      </c>
    </row>
    <row r="688" spans="10:11" x14ac:dyDescent="0.35">
      <c r="J688" s="4" t="s">
        <v>471</v>
      </c>
      <c r="K688" s="6">
        <v>335</v>
      </c>
    </row>
    <row r="689" spans="10:11" x14ac:dyDescent="0.35">
      <c r="J689" s="4" t="s">
        <v>468</v>
      </c>
      <c r="K689" s="6">
        <v>335</v>
      </c>
    </row>
    <row r="690" spans="10:11" x14ac:dyDescent="0.35">
      <c r="J690" s="4" t="s">
        <v>467</v>
      </c>
      <c r="K690" s="6">
        <v>335</v>
      </c>
    </row>
    <row r="691" spans="10:11" x14ac:dyDescent="0.35">
      <c r="J691" s="4" t="s">
        <v>470</v>
      </c>
      <c r="K691" s="6">
        <v>335</v>
      </c>
    </row>
    <row r="692" spans="10:11" x14ac:dyDescent="0.35">
      <c r="J692" s="4" t="s">
        <v>466</v>
      </c>
      <c r="K692" s="6">
        <v>335</v>
      </c>
    </row>
    <row r="693" spans="10:11" x14ac:dyDescent="0.35">
      <c r="J693" s="4" t="s">
        <v>469</v>
      </c>
      <c r="K693" s="6">
        <v>335</v>
      </c>
    </row>
    <row r="694" spans="10:11" x14ac:dyDescent="0.35">
      <c r="J694" s="4" t="s">
        <v>357</v>
      </c>
      <c r="K694" s="6">
        <v>325</v>
      </c>
    </row>
    <row r="695" spans="10:11" x14ac:dyDescent="0.35">
      <c r="J695" s="4" t="s">
        <v>264</v>
      </c>
      <c r="K695" s="6">
        <v>324</v>
      </c>
    </row>
    <row r="696" spans="10:11" x14ac:dyDescent="0.35">
      <c r="J696" s="4" t="s">
        <v>722</v>
      </c>
      <c r="K696" s="6">
        <v>322</v>
      </c>
    </row>
    <row r="697" spans="10:11" x14ac:dyDescent="0.35">
      <c r="J697" s="4" t="s">
        <v>319</v>
      </c>
      <c r="K697" s="6">
        <v>319</v>
      </c>
    </row>
    <row r="698" spans="10:11" x14ac:dyDescent="0.35">
      <c r="J698" s="4" t="s">
        <v>377</v>
      </c>
      <c r="K698" s="6">
        <v>318</v>
      </c>
    </row>
    <row r="699" spans="10:11" x14ac:dyDescent="0.35">
      <c r="J699" s="4" t="s">
        <v>541</v>
      </c>
      <c r="K699" s="6">
        <v>309</v>
      </c>
    </row>
    <row r="700" spans="10:11" x14ac:dyDescent="0.35">
      <c r="J700" s="4" t="s">
        <v>542</v>
      </c>
      <c r="K700" s="6">
        <v>309</v>
      </c>
    </row>
    <row r="701" spans="10:11" x14ac:dyDescent="0.35">
      <c r="J701" s="4" t="s">
        <v>168</v>
      </c>
      <c r="K701" s="6">
        <v>301</v>
      </c>
    </row>
    <row r="702" spans="10:11" x14ac:dyDescent="0.35">
      <c r="J702" s="4" t="s">
        <v>749</v>
      </c>
      <c r="K702" s="6">
        <v>300</v>
      </c>
    </row>
    <row r="703" spans="10:11" x14ac:dyDescent="0.35">
      <c r="J703" s="4" t="s">
        <v>627</v>
      </c>
      <c r="K703" s="6">
        <v>298</v>
      </c>
    </row>
    <row r="704" spans="10:11" x14ac:dyDescent="0.35">
      <c r="J704" s="4" t="s">
        <v>555</v>
      </c>
      <c r="K704" s="6">
        <v>297</v>
      </c>
    </row>
    <row r="705" spans="10:11" x14ac:dyDescent="0.35">
      <c r="J705" s="4" t="s">
        <v>554</v>
      </c>
      <c r="K705" s="6">
        <v>297</v>
      </c>
    </row>
    <row r="706" spans="10:11" x14ac:dyDescent="0.35">
      <c r="J706" s="4" t="s">
        <v>85</v>
      </c>
      <c r="K706" s="6">
        <v>294</v>
      </c>
    </row>
    <row r="707" spans="10:11" x14ac:dyDescent="0.35">
      <c r="J707" s="4" t="s">
        <v>786</v>
      </c>
      <c r="K707" s="6">
        <v>287</v>
      </c>
    </row>
    <row r="708" spans="10:11" x14ac:dyDescent="0.35">
      <c r="J708" s="4" t="s">
        <v>606</v>
      </c>
      <c r="K708" s="6">
        <v>285</v>
      </c>
    </row>
    <row r="709" spans="10:11" x14ac:dyDescent="0.35">
      <c r="J709" s="4" t="s">
        <v>80</v>
      </c>
      <c r="K709" s="6">
        <v>277</v>
      </c>
    </row>
    <row r="710" spans="10:11" x14ac:dyDescent="0.35">
      <c r="J710" s="4" t="s">
        <v>81</v>
      </c>
      <c r="K710" s="6">
        <v>277</v>
      </c>
    </row>
    <row r="711" spans="10:11" x14ac:dyDescent="0.35">
      <c r="J711" s="4" t="s">
        <v>771</v>
      </c>
      <c r="K711" s="6">
        <v>272</v>
      </c>
    </row>
    <row r="712" spans="10:11" x14ac:dyDescent="0.35">
      <c r="J712" s="4" t="s">
        <v>772</v>
      </c>
      <c r="K712" s="6">
        <v>272</v>
      </c>
    </row>
    <row r="713" spans="10:11" x14ac:dyDescent="0.35">
      <c r="J713" s="4" t="s">
        <v>37</v>
      </c>
      <c r="K713" s="6">
        <v>265</v>
      </c>
    </row>
    <row r="714" spans="10:11" x14ac:dyDescent="0.35">
      <c r="J714" s="4" t="s">
        <v>35</v>
      </c>
      <c r="K714" s="6">
        <v>265</v>
      </c>
    </row>
    <row r="715" spans="10:11" x14ac:dyDescent="0.35">
      <c r="J715" s="4" t="s">
        <v>512</v>
      </c>
      <c r="K715" s="6">
        <v>258</v>
      </c>
    </row>
    <row r="716" spans="10:11" x14ac:dyDescent="0.35">
      <c r="J716" s="4" t="s">
        <v>745</v>
      </c>
      <c r="K716" s="6">
        <v>256</v>
      </c>
    </row>
    <row r="717" spans="10:11" x14ac:dyDescent="0.35">
      <c r="J717" s="4" t="s">
        <v>744</v>
      </c>
      <c r="K717" s="6">
        <v>256</v>
      </c>
    </row>
    <row r="718" spans="10:11" x14ac:dyDescent="0.35">
      <c r="J718" s="4" t="s">
        <v>194</v>
      </c>
      <c r="K718" s="6">
        <v>254</v>
      </c>
    </row>
    <row r="719" spans="10:11" x14ac:dyDescent="0.35">
      <c r="J719" s="4" t="s">
        <v>499</v>
      </c>
      <c r="K719" s="6">
        <v>249</v>
      </c>
    </row>
    <row r="720" spans="10:11" x14ac:dyDescent="0.35">
      <c r="J720" s="4" t="s">
        <v>498</v>
      </c>
      <c r="K720" s="6">
        <v>249</v>
      </c>
    </row>
    <row r="721" spans="10:11" x14ac:dyDescent="0.35">
      <c r="J721" s="4" t="s">
        <v>758</v>
      </c>
      <c r="K721" s="6">
        <v>247</v>
      </c>
    </row>
    <row r="722" spans="10:11" x14ac:dyDescent="0.35">
      <c r="J722" s="4" t="s">
        <v>757</v>
      </c>
      <c r="K722" s="6">
        <v>247</v>
      </c>
    </row>
    <row r="723" spans="10:11" x14ac:dyDescent="0.35">
      <c r="J723" s="4" t="s">
        <v>825</v>
      </c>
      <c r="K723" s="6">
        <v>246</v>
      </c>
    </row>
    <row r="724" spans="10:11" x14ac:dyDescent="0.35">
      <c r="J724" s="4" t="s">
        <v>716</v>
      </c>
      <c r="K724" s="6">
        <v>245</v>
      </c>
    </row>
    <row r="725" spans="10:11" x14ac:dyDescent="0.35">
      <c r="J725" s="4" t="s">
        <v>117</v>
      </c>
      <c r="K725" s="6">
        <v>241</v>
      </c>
    </row>
    <row r="726" spans="10:11" x14ac:dyDescent="0.35">
      <c r="J726" s="4" t="s">
        <v>116</v>
      </c>
      <c r="K726" s="6">
        <v>241</v>
      </c>
    </row>
    <row r="727" spans="10:11" x14ac:dyDescent="0.35">
      <c r="J727" s="4" t="s">
        <v>534</v>
      </c>
      <c r="K727" s="6">
        <v>238</v>
      </c>
    </row>
    <row r="728" spans="10:11" x14ac:dyDescent="0.35">
      <c r="J728" s="4" t="s">
        <v>663</v>
      </c>
      <c r="K728" s="6">
        <v>235</v>
      </c>
    </row>
    <row r="729" spans="10:11" x14ac:dyDescent="0.35">
      <c r="J729" s="4" t="s">
        <v>664</v>
      </c>
      <c r="K729" s="6">
        <v>235</v>
      </c>
    </row>
    <row r="730" spans="10:11" x14ac:dyDescent="0.35">
      <c r="J730" s="4" t="s">
        <v>662</v>
      </c>
      <c r="K730" s="6">
        <v>235</v>
      </c>
    </row>
    <row r="731" spans="10:11" x14ac:dyDescent="0.35">
      <c r="J731" s="4" t="s">
        <v>281</v>
      </c>
      <c r="K731" s="6">
        <v>235</v>
      </c>
    </row>
    <row r="732" spans="10:11" x14ac:dyDescent="0.35">
      <c r="J732" s="4" t="s">
        <v>282</v>
      </c>
      <c r="K732" s="6">
        <v>235</v>
      </c>
    </row>
    <row r="733" spans="10:11" x14ac:dyDescent="0.35">
      <c r="J733" s="4" t="s">
        <v>562</v>
      </c>
      <c r="K733" s="6">
        <v>232</v>
      </c>
    </row>
    <row r="734" spans="10:11" x14ac:dyDescent="0.35">
      <c r="J734" s="4" t="s">
        <v>561</v>
      </c>
      <c r="K734" s="6">
        <v>232</v>
      </c>
    </row>
    <row r="735" spans="10:11" x14ac:dyDescent="0.35">
      <c r="J735" s="4" t="s">
        <v>446</v>
      </c>
      <c r="K735" s="6">
        <v>231</v>
      </c>
    </row>
    <row r="736" spans="10:11" x14ac:dyDescent="0.35">
      <c r="J736" s="4" t="s">
        <v>733</v>
      </c>
      <c r="K736" s="6">
        <v>229</v>
      </c>
    </row>
    <row r="737" spans="10:11" x14ac:dyDescent="0.35">
      <c r="J737" s="4" t="s">
        <v>732</v>
      </c>
      <c r="K737" s="6">
        <v>229</v>
      </c>
    </row>
    <row r="738" spans="10:11" x14ac:dyDescent="0.35">
      <c r="J738" s="4" t="s">
        <v>609</v>
      </c>
      <c r="K738" s="6">
        <v>224</v>
      </c>
    </row>
    <row r="739" spans="10:11" x14ac:dyDescent="0.35">
      <c r="J739" s="4" t="s">
        <v>328</v>
      </c>
      <c r="K739" s="6">
        <v>220</v>
      </c>
    </row>
    <row r="740" spans="10:11" x14ac:dyDescent="0.35">
      <c r="J740" s="4" t="s">
        <v>327</v>
      </c>
      <c r="K740" s="6">
        <v>220</v>
      </c>
    </row>
    <row r="741" spans="10:11" x14ac:dyDescent="0.35">
      <c r="J741" s="4" t="s">
        <v>364</v>
      </c>
      <c r="K741" s="6">
        <v>218</v>
      </c>
    </row>
    <row r="742" spans="10:11" x14ac:dyDescent="0.35">
      <c r="J742" s="4" t="s">
        <v>363</v>
      </c>
      <c r="K742" s="6">
        <v>218</v>
      </c>
    </row>
    <row r="743" spans="10:11" x14ac:dyDescent="0.35">
      <c r="J743" s="4" t="s">
        <v>362</v>
      </c>
      <c r="K743" s="6">
        <v>218</v>
      </c>
    </row>
    <row r="744" spans="10:11" x14ac:dyDescent="0.35">
      <c r="J744" s="4" t="s">
        <v>217</v>
      </c>
      <c r="K744" s="6">
        <v>214</v>
      </c>
    </row>
    <row r="745" spans="10:11" x14ac:dyDescent="0.35">
      <c r="J745" s="4" t="s">
        <v>216</v>
      </c>
      <c r="K745" s="6">
        <v>214</v>
      </c>
    </row>
    <row r="746" spans="10:11" x14ac:dyDescent="0.35">
      <c r="J746" s="4" t="s">
        <v>667</v>
      </c>
      <c r="K746" s="6">
        <v>212</v>
      </c>
    </row>
    <row r="747" spans="10:11" x14ac:dyDescent="0.35">
      <c r="J747" s="4" t="s">
        <v>668</v>
      </c>
      <c r="K747" s="6">
        <v>212</v>
      </c>
    </row>
    <row r="748" spans="10:11" x14ac:dyDescent="0.35">
      <c r="J748" s="4" t="s">
        <v>593</v>
      </c>
      <c r="K748" s="6">
        <v>211</v>
      </c>
    </row>
    <row r="749" spans="10:11" x14ac:dyDescent="0.35">
      <c r="J749" s="4" t="s">
        <v>516</v>
      </c>
      <c r="K749" s="6">
        <v>207</v>
      </c>
    </row>
    <row r="750" spans="10:11" x14ac:dyDescent="0.35">
      <c r="J750" s="4" t="s">
        <v>245</v>
      </c>
      <c r="K750" s="6">
        <v>204</v>
      </c>
    </row>
    <row r="751" spans="10:11" x14ac:dyDescent="0.35">
      <c r="J751" s="4" t="s">
        <v>244</v>
      </c>
      <c r="K751" s="6">
        <v>204</v>
      </c>
    </row>
    <row r="752" spans="10:11" x14ac:dyDescent="0.35">
      <c r="J752" s="4" t="s">
        <v>445</v>
      </c>
      <c r="K752" s="6">
        <v>201</v>
      </c>
    </row>
    <row r="753" spans="10:11" x14ac:dyDescent="0.35">
      <c r="J753" s="4" t="s">
        <v>444</v>
      </c>
      <c r="K753" s="6">
        <v>201</v>
      </c>
    </row>
    <row r="754" spans="10:11" x14ac:dyDescent="0.35">
      <c r="J754" s="4" t="s">
        <v>112</v>
      </c>
      <c r="K754" s="6">
        <v>197</v>
      </c>
    </row>
    <row r="755" spans="10:11" x14ac:dyDescent="0.35">
      <c r="J755" s="4" t="s">
        <v>204</v>
      </c>
      <c r="K755" s="6">
        <v>196</v>
      </c>
    </row>
    <row r="756" spans="10:11" x14ac:dyDescent="0.35">
      <c r="J756" s="4" t="s">
        <v>342</v>
      </c>
      <c r="K756" s="6">
        <v>190</v>
      </c>
    </row>
    <row r="757" spans="10:11" x14ac:dyDescent="0.35">
      <c r="J757" s="4" t="s">
        <v>669</v>
      </c>
      <c r="K757" s="6">
        <v>188</v>
      </c>
    </row>
    <row r="758" spans="10:11" x14ac:dyDescent="0.35">
      <c r="J758" s="4" t="s">
        <v>519</v>
      </c>
      <c r="K758" s="6">
        <v>187</v>
      </c>
    </row>
    <row r="759" spans="10:11" x14ac:dyDescent="0.35">
      <c r="J759" s="4" t="s">
        <v>520</v>
      </c>
      <c r="K759" s="6">
        <v>187</v>
      </c>
    </row>
    <row r="760" spans="10:11" x14ac:dyDescent="0.35">
      <c r="J760" s="4" t="s">
        <v>17</v>
      </c>
      <c r="K760" s="6">
        <v>185</v>
      </c>
    </row>
    <row r="761" spans="10:11" x14ac:dyDescent="0.35">
      <c r="J761" s="4" t="s">
        <v>20</v>
      </c>
      <c r="K761" s="6">
        <v>185</v>
      </c>
    </row>
    <row r="762" spans="10:11" x14ac:dyDescent="0.35">
      <c r="J762" s="4" t="s">
        <v>299</v>
      </c>
      <c r="K762" s="6">
        <v>184</v>
      </c>
    </row>
    <row r="763" spans="10:11" x14ac:dyDescent="0.35">
      <c r="J763" s="4" t="s">
        <v>704</v>
      </c>
      <c r="K763" s="6">
        <v>177</v>
      </c>
    </row>
    <row r="764" spans="10:11" x14ac:dyDescent="0.35">
      <c r="J764" s="4" t="s">
        <v>372</v>
      </c>
      <c r="K764" s="6">
        <v>176</v>
      </c>
    </row>
    <row r="765" spans="10:11" x14ac:dyDescent="0.35">
      <c r="J765" s="4" t="s">
        <v>540</v>
      </c>
      <c r="K765" s="6">
        <v>164</v>
      </c>
    </row>
    <row r="766" spans="10:11" x14ac:dyDescent="0.35">
      <c r="J766" s="4" t="s">
        <v>659</v>
      </c>
      <c r="K766" s="6">
        <v>163</v>
      </c>
    </row>
    <row r="767" spans="10:11" x14ac:dyDescent="0.35">
      <c r="J767" s="4" t="s">
        <v>144</v>
      </c>
      <c r="K767" s="6">
        <v>163</v>
      </c>
    </row>
    <row r="768" spans="10:11" x14ac:dyDescent="0.35">
      <c r="J768" s="4" t="s">
        <v>830</v>
      </c>
      <c r="K768" s="6">
        <v>163</v>
      </c>
    </row>
    <row r="769" spans="10:11" x14ac:dyDescent="0.35">
      <c r="J769" s="4" t="s">
        <v>195</v>
      </c>
      <c r="K769" s="6">
        <v>159</v>
      </c>
    </row>
    <row r="770" spans="10:11" x14ac:dyDescent="0.35">
      <c r="J770" s="4" t="s">
        <v>665</v>
      </c>
      <c r="K770" s="6">
        <v>155</v>
      </c>
    </row>
    <row r="771" spans="10:11" x14ac:dyDescent="0.35">
      <c r="J771" s="4" t="s">
        <v>666</v>
      </c>
      <c r="K771" s="6">
        <v>155</v>
      </c>
    </row>
    <row r="772" spans="10:11" x14ac:dyDescent="0.35">
      <c r="J772" s="4" t="s">
        <v>489</v>
      </c>
      <c r="K772" s="6">
        <v>151</v>
      </c>
    </row>
    <row r="773" spans="10:11" x14ac:dyDescent="0.35">
      <c r="J773" s="4" t="s">
        <v>700</v>
      </c>
      <c r="K773" s="6">
        <v>149</v>
      </c>
    </row>
    <row r="774" spans="10:11" x14ac:dyDescent="0.35">
      <c r="J774" s="4" t="s">
        <v>773</v>
      </c>
      <c r="K774" s="6">
        <v>142</v>
      </c>
    </row>
    <row r="775" spans="10:11" x14ac:dyDescent="0.35">
      <c r="J775" s="4" t="s">
        <v>776</v>
      </c>
      <c r="K775" s="6">
        <v>135</v>
      </c>
    </row>
    <row r="776" spans="10:11" x14ac:dyDescent="0.35">
      <c r="J776" s="4" t="s">
        <v>775</v>
      </c>
      <c r="K776" s="6">
        <v>135</v>
      </c>
    </row>
    <row r="777" spans="10:11" x14ac:dyDescent="0.35">
      <c r="J777" s="4" t="s">
        <v>712</v>
      </c>
      <c r="K777" s="6">
        <v>126</v>
      </c>
    </row>
    <row r="778" spans="10:11" x14ac:dyDescent="0.35">
      <c r="J778" s="4" t="s">
        <v>768</v>
      </c>
      <c r="K778" s="6">
        <v>125</v>
      </c>
    </row>
    <row r="779" spans="10:11" x14ac:dyDescent="0.35">
      <c r="J779" s="4" t="s">
        <v>767</v>
      </c>
      <c r="K779" s="6">
        <v>125</v>
      </c>
    </row>
    <row r="780" spans="10:11" x14ac:dyDescent="0.35">
      <c r="J780" s="4" t="s">
        <v>239</v>
      </c>
      <c r="K780" s="6">
        <v>115</v>
      </c>
    </row>
    <row r="781" spans="10:11" x14ac:dyDescent="0.35">
      <c r="J781" s="4" t="s">
        <v>380</v>
      </c>
      <c r="K781" s="6">
        <v>106</v>
      </c>
    </row>
    <row r="782" spans="10:11" x14ac:dyDescent="0.35">
      <c r="J782" s="4" t="s">
        <v>790</v>
      </c>
      <c r="K782" s="6">
        <v>103</v>
      </c>
    </row>
    <row r="783" spans="10:11" x14ac:dyDescent="0.35">
      <c r="J783" s="4" t="s">
        <v>656</v>
      </c>
      <c r="K783" s="6">
        <v>96</v>
      </c>
    </row>
    <row r="784" spans="10:11" x14ac:dyDescent="0.35">
      <c r="J784" s="4" t="s">
        <v>477</v>
      </c>
      <c r="K784" s="6">
        <v>95</v>
      </c>
    </row>
    <row r="785" spans="10:11" x14ac:dyDescent="0.35">
      <c r="J785" s="4" t="s">
        <v>86</v>
      </c>
      <c r="K785" s="6">
        <v>95</v>
      </c>
    </row>
    <row r="786" spans="10:11" x14ac:dyDescent="0.35">
      <c r="J786" s="4" t="s">
        <v>94</v>
      </c>
      <c r="K786" s="6">
        <v>92</v>
      </c>
    </row>
    <row r="787" spans="10:11" x14ac:dyDescent="0.35">
      <c r="J787" s="4" t="s">
        <v>711</v>
      </c>
      <c r="K787" s="6">
        <v>92</v>
      </c>
    </row>
    <row r="788" spans="10:11" x14ac:dyDescent="0.35">
      <c r="J788" s="4" t="s">
        <v>93</v>
      </c>
      <c r="K788" s="6">
        <v>92</v>
      </c>
    </row>
    <row r="789" spans="10:11" x14ac:dyDescent="0.35">
      <c r="J789" s="4" t="s">
        <v>92</v>
      </c>
      <c r="K789" s="6">
        <v>92</v>
      </c>
    </row>
    <row r="790" spans="10:11" x14ac:dyDescent="0.35">
      <c r="J790" s="4" t="s">
        <v>95</v>
      </c>
      <c r="K790" s="6">
        <v>92</v>
      </c>
    </row>
    <row r="791" spans="10:11" x14ac:dyDescent="0.35">
      <c r="J791" s="4" t="s">
        <v>285</v>
      </c>
      <c r="K791" s="6">
        <v>85</v>
      </c>
    </row>
    <row r="792" spans="10:11" x14ac:dyDescent="0.35">
      <c r="J792" s="4" t="s">
        <v>687</v>
      </c>
      <c r="K792" s="6">
        <v>85</v>
      </c>
    </row>
    <row r="793" spans="10:11" x14ac:dyDescent="0.35">
      <c r="J793" s="4" t="s">
        <v>822</v>
      </c>
      <c r="K793" s="6">
        <v>83</v>
      </c>
    </row>
    <row r="794" spans="10:11" x14ac:dyDescent="0.35">
      <c r="J794" s="4" t="s">
        <v>723</v>
      </c>
      <c r="K794" s="6">
        <v>80</v>
      </c>
    </row>
    <row r="795" spans="10:11" x14ac:dyDescent="0.35">
      <c r="J795" s="4" t="s">
        <v>641</v>
      </c>
      <c r="K795" s="6">
        <v>67</v>
      </c>
    </row>
    <row r="796" spans="10:11" x14ac:dyDescent="0.35">
      <c r="J796" s="4" t="s">
        <v>640</v>
      </c>
      <c r="K796" s="6">
        <v>67</v>
      </c>
    </row>
    <row r="797" spans="10:11" x14ac:dyDescent="0.35">
      <c r="J797" s="4" t="s">
        <v>642</v>
      </c>
      <c r="K797" s="6">
        <v>67</v>
      </c>
    </row>
    <row r="798" spans="10:11" x14ac:dyDescent="0.35">
      <c r="J798" s="4" t="s">
        <v>475</v>
      </c>
      <c r="K798" s="6">
        <v>64</v>
      </c>
    </row>
    <row r="799" spans="10:11" x14ac:dyDescent="0.35">
      <c r="J799" s="4" t="s">
        <v>474</v>
      </c>
      <c r="K799" s="6">
        <v>64</v>
      </c>
    </row>
    <row r="800" spans="10:11" x14ac:dyDescent="0.35">
      <c r="J800" s="4" t="s">
        <v>821</v>
      </c>
      <c r="K800" s="6">
        <v>59</v>
      </c>
    </row>
    <row r="801" spans="10:11" x14ac:dyDescent="0.35">
      <c r="J801" s="4" t="s">
        <v>596</v>
      </c>
      <c r="K801" s="6">
        <v>58</v>
      </c>
    </row>
    <row r="802" spans="10:11" x14ac:dyDescent="0.35">
      <c r="J802" s="4" t="s">
        <v>69</v>
      </c>
      <c r="K802" s="6">
        <v>55</v>
      </c>
    </row>
    <row r="803" spans="10:11" x14ac:dyDescent="0.35">
      <c r="J803" s="4" t="s">
        <v>68</v>
      </c>
      <c r="K803" s="6">
        <v>55</v>
      </c>
    </row>
    <row r="804" spans="10:11" x14ac:dyDescent="0.35">
      <c r="J804" s="4" t="s">
        <v>816</v>
      </c>
      <c r="K804" s="6">
        <v>54</v>
      </c>
    </row>
    <row r="805" spans="10:11" x14ac:dyDescent="0.35">
      <c r="J805" s="4" t="s">
        <v>263</v>
      </c>
      <c r="K805" s="6">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B2AA-2225-42A9-A4DE-07C42B5C3D6F}">
  <dimension ref="A1:J1195"/>
  <sheetViews>
    <sheetView workbookViewId="0">
      <selection activeCell="D1" sqref="D1:D1048576"/>
    </sheetView>
  </sheetViews>
  <sheetFormatPr defaultRowHeight="14.5" x14ac:dyDescent="0.35"/>
  <cols>
    <col min="1" max="1" width="12" bestFit="1" customWidth="1"/>
    <col min="2" max="2" width="21.08984375" bestFit="1" customWidth="1"/>
    <col min="3" max="3" width="16.453125" customWidth="1"/>
    <col min="4" max="4" width="20.1796875" customWidth="1"/>
    <col min="5" max="5" width="15.1796875" bestFit="1" customWidth="1"/>
    <col min="6" max="6" width="7.6328125" bestFit="1" customWidth="1"/>
    <col min="7" max="7" width="10.26953125" bestFit="1" customWidth="1"/>
    <col min="8" max="8" width="9.1796875" bestFit="1" customWidth="1"/>
    <col min="9" max="9" width="12.7265625" bestFit="1" customWidth="1"/>
    <col min="10" max="10" width="9.1796875" bestFit="1" customWidth="1"/>
  </cols>
  <sheetData>
    <row r="1" spans="1:10" x14ac:dyDescent="0.35">
      <c r="A1" t="s">
        <v>0</v>
      </c>
      <c r="B1" t="s">
        <v>831</v>
      </c>
      <c r="C1" t="s">
        <v>832</v>
      </c>
      <c r="D1" t="s">
        <v>1</v>
      </c>
      <c r="E1" t="s">
        <v>2</v>
      </c>
      <c r="F1" t="s">
        <v>3</v>
      </c>
      <c r="G1" t="s">
        <v>4</v>
      </c>
      <c r="H1" t="s">
        <v>5</v>
      </c>
      <c r="I1" t="s">
        <v>6</v>
      </c>
      <c r="J1" t="s">
        <v>7</v>
      </c>
    </row>
    <row r="2" spans="1:10" x14ac:dyDescent="0.35">
      <c r="A2" s="1">
        <v>43912</v>
      </c>
      <c r="B2" s="2">
        <f>YEAR(Sales_Dataset[[#This Row],[Order Date]])</f>
        <v>2020</v>
      </c>
      <c r="C2" s="2">
        <f>MONTH(Sales_Dataset[[#This Row],[Order Date]])</f>
        <v>3</v>
      </c>
      <c r="D2" t="s">
        <v>820</v>
      </c>
      <c r="E2" t="s">
        <v>13</v>
      </c>
      <c r="F2" t="s">
        <v>10</v>
      </c>
      <c r="G2" t="s">
        <v>11</v>
      </c>
      <c r="H2" s="5">
        <v>8962</v>
      </c>
      <c r="I2">
        <v>18</v>
      </c>
      <c r="J2" s="5">
        <v>2444</v>
      </c>
    </row>
    <row r="3" spans="1:10" x14ac:dyDescent="0.35">
      <c r="A3" s="1">
        <v>43913</v>
      </c>
      <c r="B3" s="2">
        <f>YEAR(Sales_Dataset[[#This Row],[Order Date]])</f>
        <v>2020</v>
      </c>
      <c r="C3" s="2">
        <f>MONTH(Sales_Dataset[[#This Row],[Order Date]])</f>
        <v>3</v>
      </c>
      <c r="D3" t="s">
        <v>28</v>
      </c>
      <c r="E3" t="s">
        <v>15</v>
      </c>
      <c r="F3" t="s">
        <v>18</v>
      </c>
      <c r="G3" t="s">
        <v>19</v>
      </c>
      <c r="H3" s="5">
        <v>2975</v>
      </c>
      <c r="I3">
        <v>14</v>
      </c>
      <c r="J3" s="5">
        <v>462</v>
      </c>
    </row>
    <row r="4" spans="1:10" x14ac:dyDescent="0.35">
      <c r="A4" s="1">
        <v>43921</v>
      </c>
      <c r="B4" s="2">
        <f>YEAR(Sales_Dataset[[#This Row],[Order Date]])</f>
        <v>2020</v>
      </c>
      <c r="C4" s="2">
        <f>MONTH(Sales_Dataset[[#This Row],[Order Date]])</f>
        <v>3</v>
      </c>
      <c r="D4" t="s">
        <v>199</v>
      </c>
      <c r="E4" t="s">
        <v>13</v>
      </c>
      <c r="F4" t="s">
        <v>18</v>
      </c>
      <c r="G4" t="s">
        <v>19</v>
      </c>
      <c r="H4" s="5">
        <v>8204</v>
      </c>
      <c r="I4">
        <v>6</v>
      </c>
      <c r="J4" s="5">
        <v>2382</v>
      </c>
    </row>
    <row r="5" spans="1:10" x14ac:dyDescent="0.35">
      <c r="A5" s="1">
        <v>43921</v>
      </c>
      <c r="B5" s="2">
        <f>YEAR(Sales_Dataset[[#This Row],[Order Date]])</f>
        <v>2020</v>
      </c>
      <c r="C5" s="2">
        <f>MONTH(Sales_Dataset[[#This Row],[Order Date]])</f>
        <v>3</v>
      </c>
      <c r="D5" t="s">
        <v>199</v>
      </c>
      <c r="E5" t="s">
        <v>13</v>
      </c>
      <c r="F5" t="s">
        <v>10</v>
      </c>
      <c r="G5" t="s">
        <v>41</v>
      </c>
      <c r="H5" s="5">
        <v>2850</v>
      </c>
      <c r="I5">
        <v>6</v>
      </c>
      <c r="J5" s="5">
        <v>904</v>
      </c>
    </row>
    <row r="6" spans="1:10" x14ac:dyDescent="0.35">
      <c r="A6" s="1">
        <v>43923</v>
      </c>
      <c r="B6" s="2">
        <f>YEAR(Sales_Dataset[[#This Row],[Order Date]])</f>
        <v>2020</v>
      </c>
      <c r="C6" s="2">
        <f>MONTH(Sales_Dataset[[#This Row],[Order Date]])</f>
        <v>4</v>
      </c>
      <c r="D6" t="s">
        <v>182</v>
      </c>
      <c r="E6" t="s">
        <v>9</v>
      </c>
      <c r="F6" t="s">
        <v>10</v>
      </c>
      <c r="G6" t="s">
        <v>41</v>
      </c>
      <c r="H6" s="5">
        <v>9536</v>
      </c>
      <c r="I6">
        <v>9</v>
      </c>
      <c r="J6" s="5">
        <v>1437</v>
      </c>
    </row>
    <row r="7" spans="1:10" x14ac:dyDescent="0.35">
      <c r="A7" s="1">
        <v>43923</v>
      </c>
      <c r="B7" s="2">
        <f>YEAR(Sales_Dataset[[#This Row],[Order Date]])</f>
        <v>2020</v>
      </c>
      <c r="C7" s="2">
        <f>MONTH(Sales_Dataset[[#This Row],[Order Date]])</f>
        <v>4</v>
      </c>
      <c r="D7" t="s">
        <v>182</v>
      </c>
      <c r="E7" t="s">
        <v>9</v>
      </c>
      <c r="F7" t="s">
        <v>24</v>
      </c>
      <c r="G7" t="s">
        <v>31</v>
      </c>
      <c r="H7" s="5">
        <v>2225</v>
      </c>
      <c r="I7">
        <v>7</v>
      </c>
      <c r="J7" s="5">
        <v>589</v>
      </c>
    </row>
    <row r="8" spans="1:10" x14ac:dyDescent="0.35">
      <c r="A8" s="1">
        <v>43925</v>
      </c>
      <c r="B8" s="2">
        <f>YEAR(Sales_Dataset[[#This Row],[Order Date]])</f>
        <v>2020</v>
      </c>
      <c r="C8" s="2">
        <f>MONTH(Sales_Dataset[[#This Row],[Order Date]])</f>
        <v>4</v>
      </c>
      <c r="D8" t="s">
        <v>286</v>
      </c>
      <c r="E8" t="s">
        <v>9</v>
      </c>
      <c r="F8" t="s">
        <v>24</v>
      </c>
      <c r="G8" t="s">
        <v>27</v>
      </c>
      <c r="H8" s="5">
        <v>5035</v>
      </c>
      <c r="I8">
        <v>2</v>
      </c>
      <c r="J8" s="5">
        <v>2008</v>
      </c>
    </row>
    <row r="9" spans="1:10" x14ac:dyDescent="0.35">
      <c r="A9" s="1">
        <v>43925</v>
      </c>
      <c r="B9" s="2">
        <f>YEAR(Sales_Dataset[[#This Row],[Order Date]])</f>
        <v>2020</v>
      </c>
      <c r="C9" s="2">
        <f>MONTH(Sales_Dataset[[#This Row],[Order Date]])</f>
        <v>4</v>
      </c>
      <c r="D9" t="s">
        <v>286</v>
      </c>
      <c r="E9" t="s">
        <v>9</v>
      </c>
      <c r="F9" t="s">
        <v>10</v>
      </c>
      <c r="G9" t="s">
        <v>16</v>
      </c>
      <c r="H9" s="5">
        <v>7702</v>
      </c>
      <c r="I9">
        <v>19</v>
      </c>
      <c r="J9" s="5">
        <v>60</v>
      </c>
    </row>
    <row r="10" spans="1:10" x14ac:dyDescent="0.35">
      <c r="A10" s="1">
        <v>43925</v>
      </c>
      <c r="B10" s="2">
        <f>YEAR(Sales_Dataset[[#This Row],[Order Date]])</f>
        <v>2020</v>
      </c>
      <c r="C10" s="2">
        <f>MONTH(Sales_Dataset[[#This Row],[Order Date]])</f>
        <v>4</v>
      </c>
      <c r="D10" t="s">
        <v>286</v>
      </c>
      <c r="E10" t="s">
        <v>9</v>
      </c>
      <c r="F10" t="s">
        <v>10</v>
      </c>
      <c r="G10" t="s">
        <v>16</v>
      </c>
      <c r="H10" s="5">
        <v>9884</v>
      </c>
      <c r="I10">
        <v>7</v>
      </c>
      <c r="J10" s="5">
        <v>4446</v>
      </c>
    </row>
    <row r="11" spans="1:10" x14ac:dyDescent="0.35">
      <c r="A11" s="1">
        <v>43926</v>
      </c>
      <c r="B11" s="2">
        <f>YEAR(Sales_Dataset[[#This Row],[Order Date]])</f>
        <v>2020</v>
      </c>
      <c r="C11" s="2">
        <f>MONTH(Sales_Dataset[[#This Row],[Order Date]])</f>
        <v>4</v>
      </c>
      <c r="D11" t="s">
        <v>778</v>
      </c>
      <c r="E11" t="s">
        <v>47</v>
      </c>
      <c r="F11" t="s">
        <v>24</v>
      </c>
      <c r="G11" t="s">
        <v>31</v>
      </c>
      <c r="H11" s="5">
        <v>9609</v>
      </c>
      <c r="I11">
        <v>3</v>
      </c>
      <c r="J11" s="5">
        <v>4339</v>
      </c>
    </row>
    <row r="12" spans="1:10" x14ac:dyDescent="0.35">
      <c r="A12" s="1">
        <v>43929</v>
      </c>
      <c r="B12" s="2">
        <f>YEAR(Sales_Dataset[[#This Row],[Order Date]])</f>
        <v>2020</v>
      </c>
      <c r="C12" s="2">
        <f>MONTH(Sales_Dataset[[#This Row],[Order Date]])</f>
        <v>4</v>
      </c>
      <c r="D12" t="s">
        <v>190</v>
      </c>
      <c r="E12" t="s">
        <v>47</v>
      </c>
      <c r="F12" t="s">
        <v>18</v>
      </c>
      <c r="G12" t="s">
        <v>33</v>
      </c>
      <c r="H12" s="5">
        <v>869</v>
      </c>
      <c r="I12">
        <v>14</v>
      </c>
      <c r="J12" s="5">
        <v>373</v>
      </c>
    </row>
    <row r="13" spans="1:10" x14ac:dyDescent="0.35">
      <c r="A13" s="1">
        <v>43929</v>
      </c>
      <c r="B13" s="2">
        <f>YEAR(Sales_Dataset[[#This Row],[Order Date]])</f>
        <v>2020</v>
      </c>
      <c r="C13" s="2">
        <f>MONTH(Sales_Dataset[[#This Row],[Order Date]])</f>
        <v>4</v>
      </c>
      <c r="D13" t="s">
        <v>190</v>
      </c>
      <c r="E13" t="s">
        <v>47</v>
      </c>
      <c r="F13" t="s">
        <v>24</v>
      </c>
      <c r="G13" t="s">
        <v>51</v>
      </c>
      <c r="H13" s="5">
        <v>1486</v>
      </c>
      <c r="I13">
        <v>7</v>
      </c>
      <c r="J13" s="5">
        <v>114</v>
      </c>
    </row>
    <row r="14" spans="1:10" x14ac:dyDescent="0.35">
      <c r="A14" s="1">
        <v>43929</v>
      </c>
      <c r="B14" s="2">
        <f>YEAR(Sales_Dataset[[#This Row],[Order Date]])</f>
        <v>2020</v>
      </c>
      <c r="C14" s="2">
        <f>MONTH(Sales_Dataset[[#This Row],[Order Date]])</f>
        <v>4</v>
      </c>
      <c r="D14" t="s">
        <v>402</v>
      </c>
      <c r="E14" t="s">
        <v>9</v>
      </c>
      <c r="F14" t="s">
        <v>24</v>
      </c>
      <c r="G14" t="s">
        <v>31</v>
      </c>
      <c r="H14" s="5">
        <v>4115</v>
      </c>
      <c r="I14">
        <v>1</v>
      </c>
      <c r="J14" s="5">
        <v>1285</v>
      </c>
    </row>
    <row r="15" spans="1:10" x14ac:dyDescent="0.35">
      <c r="A15" s="1">
        <v>43929</v>
      </c>
      <c r="B15" s="2">
        <f>YEAR(Sales_Dataset[[#This Row],[Order Date]])</f>
        <v>2020</v>
      </c>
      <c r="C15" s="2">
        <f>MONTH(Sales_Dataset[[#This Row],[Order Date]])</f>
        <v>4</v>
      </c>
      <c r="D15" t="s">
        <v>402</v>
      </c>
      <c r="E15" t="s">
        <v>9</v>
      </c>
      <c r="F15" t="s">
        <v>24</v>
      </c>
      <c r="G15" t="s">
        <v>25</v>
      </c>
      <c r="H15" s="5">
        <v>4761</v>
      </c>
      <c r="I15">
        <v>12</v>
      </c>
      <c r="J15" s="5">
        <v>2231</v>
      </c>
    </row>
    <row r="16" spans="1:10" x14ac:dyDescent="0.35">
      <c r="A16" s="1">
        <v>43934</v>
      </c>
      <c r="B16" s="2">
        <f>YEAR(Sales_Dataset[[#This Row],[Order Date]])</f>
        <v>2020</v>
      </c>
      <c r="C16" s="2">
        <f>MONTH(Sales_Dataset[[#This Row],[Order Date]])</f>
        <v>4</v>
      </c>
      <c r="D16" t="s">
        <v>73</v>
      </c>
      <c r="E16" t="s">
        <v>15</v>
      </c>
      <c r="F16" t="s">
        <v>18</v>
      </c>
      <c r="G16" t="s">
        <v>30</v>
      </c>
      <c r="H16" s="5">
        <v>3808</v>
      </c>
      <c r="I16">
        <v>4</v>
      </c>
      <c r="J16" s="5">
        <v>1192</v>
      </c>
    </row>
    <row r="17" spans="1:10" x14ac:dyDescent="0.35">
      <c r="A17" s="1">
        <v>43934</v>
      </c>
      <c r="B17" s="2">
        <f>YEAR(Sales_Dataset[[#This Row],[Order Date]])</f>
        <v>2020</v>
      </c>
      <c r="C17" s="2">
        <f>MONTH(Sales_Dataset[[#This Row],[Order Date]])</f>
        <v>4</v>
      </c>
      <c r="D17" t="s">
        <v>73</v>
      </c>
      <c r="E17" t="s">
        <v>15</v>
      </c>
      <c r="F17" t="s">
        <v>18</v>
      </c>
      <c r="G17" t="s">
        <v>19</v>
      </c>
      <c r="H17" s="5">
        <v>2588</v>
      </c>
      <c r="I17">
        <v>16</v>
      </c>
      <c r="J17" s="5">
        <v>705</v>
      </c>
    </row>
    <row r="18" spans="1:10" x14ac:dyDescent="0.35">
      <c r="A18" s="1">
        <v>43937</v>
      </c>
      <c r="B18" s="2">
        <f>YEAR(Sales_Dataset[[#This Row],[Order Date]])</f>
        <v>2020</v>
      </c>
      <c r="C18" s="2">
        <f>MONTH(Sales_Dataset[[#This Row],[Order Date]])</f>
        <v>4</v>
      </c>
      <c r="D18" t="s">
        <v>605</v>
      </c>
      <c r="E18" t="s">
        <v>47</v>
      </c>
      <c r="F18" t="s">
        <v>24</v>
      </c>
      <c r="G18" t="s">
        <v>31</v>
      </c>
      <c r="H18" s="5">
        <v>6783</v>
      </c>
      <c r="I18">
        <v>8</v>
      </c>
      <c r="J18" s="5">
        <v>3306</v>
      </c>
    </row>
    <row r="19" spans="1:10" x14ac:dyDescent="0.35">
      <c r="A19" s="1">
        <v>43939</v>
      </c>
      <c r="B19" s="2">
        <f>YEAR(Sales_Dataset[[#This Row],[Order Date]])</f>
        <v>2020</v>
      </c>
      <c r="C19" s="2">
        <f>MONTH(Sales_Dataset[[#This Row],[Order Date]])</f>
        <v>4</v>
      </c>
      <c r="D19" t="s">
        <v>525</v>
      </c>
      <c r="E19" t="s">
        <v>9</v>
      </c>
      <c r="F19" t="s">
        <v>18</v>
      </c>
      <c r="G19" t="s">
        <v>19</v>
      </c>
      <c r="H19" s="5">
        <v>3573</v>
      </c>
      <c r="I19">
        <v>7</v>
      </c>
      <c r="J19" s="5">
        <v>562</v>
      </c>
    </row>
    <row r="20" spans="1:10" x14ac:dyDescent="0.35">
      <c r="A20" s="1">
        <v>43939</v>
      </c>
      <c r="B20" s="2">
        <f>YEAR(Sales_Dataset[[#This Row],[Order Date]])</f>
        <v>2020</v>
      </c>
      <c r="C20" s="2">
        <f>MONTH(Sales_Dataset[[#This Row],[Order Date]])</f>
        <v>4</v>
      </c>
      <c r="D20" t="s">
        <v>525</v>
      </c>
      <c r="E20" t="s">
        <v>9</v>
      </c>
      <c r="F20" t="s">
        <v>10</v>
      </c>
      <c r="G20" t="s">
        <v>41</v>
      </c>
      <c r="H20" s="5">
        <v>8055</v>
      </c>
      <c r="I20">
        <v>10</v>
      </c>
      <c r="J20" s="5">
        <v>661</v>
      </c>
    </row>
    <row r="21" spans="1:10" x14ac:dyDescent="0.35">
      <c r="A21" s="1">
        <v>43939</v>
      </c>
      <c r="B21" s="2">
        <f>YEAR(Sales_Dataset[[#This Row],[Order Date]])</f>
        <v>2020</v>
      </c>
      <c r="C21" s="2">
        <f>MONTH(Sales_Dataset[[#This Row],[Order Date]])</f>
        <v>4</v>
      </c>
      <c r="D21" t="s">
        <v>796</v>
      </c>
      <c r="E21" t="s">
        <v>36</v>
      </c>
      <c r="F21" t="s">
        <v>18</v>
      </c>
      <c r="G21" t="s">
        <v>30</v>
      </c>
      <c r="H21" s="5">
        <v>9272</v>
      </c>
      <c r="I21">
        <v>19</v>
      </c>
      <c r="J21" s="5">
        <v>1771</v>
      </c>
    </row>
    <row r="22" spans="1:10" x14ac:dyDescent="0.35">
      <c r="A22" s="1">
        <v>43940</v>
      </c>
      <c r="B22" s="2">
        <f>YEAR(Sales_Dataset[[#This Row],[Order Date]])</f>
        <v>2020</v>
      </c>
      <c r="C22" s="2">
        <f>MONTH(Sales_Dataset[[#This Row],[Order Date]])</f>
        <v>4</v>
      </c>
      <c r="D22" t="s">
        <v>794</v>
      </c>
      <c r="E22" t="s">
        <v>47</v>
      </c>
      <c r="F22" t="s">
        <v>24</v>
      </c>
      <c r="G22" t="s">
        <v>25</v>
      </c>
      <c r="H22" s="5">
        <v>5460</v>
      </c>
      <c r="I22">
        <v>14</v>
      </c>
      <c r="J22" s="5">
        <v>2088</v>
      </c>
    </row>
    <row r="23" spans="1:10" x14ac:dyDescent="0.35">
      <c r="A23" s="1">
        <v>43943</v>
      </c>
      <c r="B23" s="2">
        <f>YEAR(Sales_Dataset[[#This Row],[Order Date]])</f>
        <v>2020</v>
      </c>
      <c r="C23" s="2">
        <f>MONTH(Sales_Dataset[[#This Row],[Order Date]])</f>
        <v>4</v>
      </c>
      <c r="D23" t="s">
        <v>565</v>
      </c>
      <c r="E23" t="s">
        <v>22</v>
      </c>
      <c r="F23" t="s">
        <v>24</v>
      </c>
      <c r="G23" t="s">
        <v>51</v>
      </c>
      <c r="H23" s="5">
        <v>2401</v>
      </c>
      <c r="I23">
        <v>10</v>
      </c>
      <c r="J23" s="5">
        <v>1163</v>
      </c>
    </row>
    <row r="24" spans="1:10" x14ac:dyDescent="0.35">
      <c r="A24" s="1">
        <v>43943</v>
      </c>
      <c r="B24" s="2">
        <f>YEAR(Sales_Dataset[[#This Row],[Order Date]])</f>
        <v>2020</v>
      </c>
      <c r="C24" s="2">
        <f>MONTH(Sales_Dataset[[#This Row],[Order Date]])</f>
        <v>4</v>
      </c>
      <c r="D24" t="s">
        <v>565</v>
      </c>
      <c r="E24" t="s">
        <v>22</v>
      </c>
      <c r="F24" t="s">
        <v>10</v>
      </c>
      <c r="G24" t="s">
        <v>41</v>
      </c>
      <c r="H24" s="5">
        <v>1045</v>
      </c>
      <c r="I24">
        <v>11</v>
      </c>
      <c r="J24" s="5">
        <v>267</v>
      </c>
    </row>
    <row r="25" spans="1:10" x14ac:dyDescent="0.35">
      <c r="A25" s="1">
        <v>43946</v>
      </c>
      <c r="B25" s="2">
        <f>YEAR(Sales_Dataset[[#This Row],[Order Date]])</f>
        <v>2020</v>
      </c>
      <c r="C25" s="2">
        <f>MONTH(Sales_Dataset[[#This Row],[Order Date]])</f>
        <v>4</v>
      </c>
      <c r="D25" t="s">
        <v>464</v>
      </c>
      <c r="E25" t="s">
        <v>9</v>
      </c>
      <c r="F25" t="s">
        <v>10</v>
      </c>
      <c r="G25" t="s">
        <v>11</v>
      </c>
      <c r="H25" s="5">
        <v>8706</v>
      </c>
      <c r="I25">
        <v>3</v>
      </c>
      <c r="J25" s="5">
        <v>1724</v>
      </c>
    </row>
    <row r="26" spans="1:10" x14ac:dyDescent="0.35">
      <c r="A26" s="1">
        <v>43946</v>
      </c>
      <c r="B26" s="2">
        <f>YEAR(Sales_Dataset[[#This Row],[Order Date]])</f>
        <v>2020</v>
      </c>
      <c r="C26" s="2">
        <f>MONTH(Sales_Dataset[[#This Row],[Order Date]])</f>
        <v>4</v>
      </c>
      <c r="D26" t="s">
        <v>681</v>
      </c>
      <c r="E26" t="s">
        <v>36</v>
      </c>
      <c r="F26" t="s">
        <v>18</v>
      </c>
      <c r="G26" t="s">
        <v>19</v>
      </c>
      <c r="H26" s="5">
        <v>4904</v>
      </c>
      <c r="I26">
        <v>2</v>
      </c>
      <c r="J26" s="5">
        <v>469</v>
      </c>
    </row>
    <row r="27" spans="1:10" x14ac:dyDescent="0.35">
      <c r="A27" s="1">
        <v>43946</v>
      </c>
      <c r="B27" s="2">
        <f>YEAR(Sales_Dataset[[#This Row],[Order Date]])</f>
        <v>2020</v>
      </c>
      <c r="C27" s="2">
        <f>MONTH(Sales_Dataset[[#This Row],[Order Date]])</f>
        <v>4</v>
      </c>
      <c r="D27" t="s">
        <v>681</v>
      </c>
      <c r="E27" t="s">
        <v>36</v>
      </c>
      <c r="F27" t="s">
        <v>18</v>
      </c>
      <c r="G27" t="s">
        <v>39</v>
      </c>
      <c r="H27" s="5">
        <v>3080</v>
      </c>
      <c r="I27">
        <v>6</v>
      </c>
      <c r="J27" s="5">
        <v>737</v>
      </c>
    </row>
    <row r="28" spans="1:10" x14ac:dyDescent="0.35">
      <c r="A28" s="1">
        <v>43948</v>
      </c>
      <c r="B28" s="2">
        <f>YEAR(Sales_Dataset[[#This Row],[Order Date]])</f>
        <v>2020</v>
      </c>
      <c r="C28" s="2">
        <f>MONTH(Sales_Dataset[[#This Row],[Order Date]])</f>
        <v>4</v>
      </c>
      <c r="D28" t="s">
        <v>327</v>
      </c>
      <c r="E28" t="s">
        <v>15</v>
      </c>
      <c r="F28" t="s">
        <v>24</v>
      </c>
      <c r="G28" t="s">
        <v>27</v>
      </c>
      <c r="H28" s="5">
        <v>2895</v>
      </c>
      <c r="I28">
        <v>6</v>
      </c>
      <c r="J28" s="5">
        <v>104</v>
      </c>
    </row>
    <row r="29" spans="1:10" x14ac:dyDescent="0.35">
      <c r="A29" s="1">
        <v>43948</v>
      </c>
      <c r="B29" s="2">
        <f>YEAR(Sales_Dataset[[#This Row],[Order Date]])</f>
        <v>2020</v>
      </c>
      <c r="C29" s="2">
        <f>MONTH(Sales_Dataset[[#This Row],[Order Date]])</f>
        <v>4</v>
      </c>
      <c r="D29" t="s">
        <v>327</v>
      </c>
      <c r="E29" t="s">
        <v>15</v>
      </c>
      <c r="F29" t="s">
        <v>24</v>
      </c>
      <c r="G29" t="s">
        <v>27</v>
      </c>
      <c r="H29" s="5">
        <v>697</v>
      </c>
      <c r="I29">
        <v>1</v>
      </c>
      <c r="J29" s="5">
        <v>116</v>
      </c>
    </row>
    <row r="30" spans="1:10" x14ac:dyDescent="0.35">
      <c r="A30" s="1">
        <v>43950</v>
      </c>
      <c r="B30" s="2">
        <f>YEAR(Sales_Dataset[[#This Row],[Order Date]])</f>
        <v>2020</v>
      </c>
      <c r="C30" s="2">
        <f>MONTH(Sales_Dataset[[#This Row],[Order Date]])</f>
        <v>4</v>
      </c>
      <c r="D30" t="s">
        <v>344</v>
      </c>
      <c r="E30" t="s">
        <v>15</v>
      </c>
      <c r="F30" t="s">
        <v>18</v>
      </c>
      <c r="G30" t="s">
        <v>30</v>
      </c>
      <c r="H30" s="5">
        <v>8102</v>
      </c>
      <c r="I30">
        <v>5</v>
      </c>
      <c r="J30" s="5">
        <v>1800</v>
      </c>
    </row>
    <row r="31" spans="1:10" x14ac:dyDescent="0.35">
      <c r="A31" s="1">
        <v>43950</v>
      </c>
      <c r="B31" s="2">
        <f>YEAR(Sales_Dataset[[#This Row],[Order Date]])</f>
        <v>2020</v>
      </c>
      <c r="C31" s="2">
        <f>MONTH(Sales_Dataset[[#This Row],[Order Date]])</f>
        <v>4</v>
      </c>
      <c r="D31" t="s">
        <v>344</v>
      </c>
      <c r="E31" t="s">
        <v>15</v>
      </c>
      <c r="F31" t="s">
        <v>24</v>
      </c>
      <c r="G31" t="s">
        <v>25</v>
      </c>
      <c r="H31" s="5">
        <v>3234</v>
      </c>
      <c r="I31">
        <v>10</v>
      </c>
      <c r="J31" s="5">
        <v>1274</v>
      </c>
    </row>
    <row r="32" spans="1:10" x14ac:dyDescent="0.35">
      <c r="A32" s="1">
        <v>43950</v>
      </c>
      <c r="B32" s="2">
        <f>YEAR(Sales_Dataset[[#This Row],[Order Date]])</f>
        <v>2020</v>
      </c>
      <c r="C32" s="2">
        <f>MONTH(Sales_Dataset[[#This Row],[Order Date]])</f>
        <v>4</v>
      </c>
      <c r="D32" t="s">
        <v>781</v>
      </c>
      <c r="E32" t="s">
        <v>15</v>
      </c>
      <c r="F32" t="s">
        <v>10</v>
      </c>
      <c r="G32" t="s">
        <v>11</v>
      </c>
      <c r="H32" s="5">
        <v>3560</v>
      </c>
      <c r="I32">
        <v>15</v>
      </c>
      <c r="J32" s="5">
        <v>1335</v>
      </c>
    </row>
    <row r="33" spans="1:10" x14ac:dyDescent="0.35">
      <c r="A33" s="1">
        <v>43953</v>
      </c>
      <c r="B33" s="2">
        <f>YEAR(Sales_Dataset[[#This Row],[Order Date]])</f>
        <v>2020</v>
      </c>
      <c r="C33" s="2">
        <f>MONTH(Sales_Dataset[[#This Row],[Order Date]])</f>
        <v>5</v>
      </c>
      <c r="D33" t="s">
        <v>260</v>
      </c>
      <c r="E33" t="s">
        <v>47</v>
      </c>
      <c r="F33" t="s">
        <v>10</v>
      </c>
      <c r="G33" t="s">
        <v>11</v>
      </c>
      <c r="H33" s="5">
        <v>7748</v>
      </c>
      <c r="I33">
        <v>16</v>
      </c>
      <c r="J33" s="5">
        <v>1706</v>
      </c>
    </row>
    <row r="34" spans="1:10" x14ac:dyDescent="0.35">
      <c r="A34" s="1">
        <v>43953</v>
      </c>
      <c r="B34" s="2">
        <f>YEAR(Sales_Dataset[[#This Row],[Order Date]])</f>
        <v>2020</v>
      </c>
      <c r="C34" s="2">
        <f>MONTH(Sales_Dataset[[#This Row],[Order Date]])</f>
        <v>5</v>
      </c>
      <c r="D34" t="s">
        <v>260</v>
      </c>
      <c r="E34" t="s">
        <v>47</v>
      </c>
      <c r="F34" t="s">
        <v>18</v>
      </c>
      <c r="G34" t="s">
        <v>30</v>
      </c>
      <c r="H34" s="5">
        <v>6381</v>
      </c>
      <c r="I34">
        <v>20</v>
      </c>
      <c r="J34" s="5">
        <v>2763</v>
      </c>
    </row>
    <row r="35" spans="1:10" x14ac:dyDescent="0.35">
      <c r="A35" s="1">
        <v>43953</v>
      </c>
      <c r="B35" s="2">
        <f>YEAR(Sales_Dataset[[#This Row],[Order Date]])</f>
        <v>2020</v>
      </c>
      <c r="C35" s="2">
        <f>MONTH(Sales_Dataset[[#This Row],[Order Date]])</f>
        <v>5</v>
      </c>
      <c r="D35" t="s">
        <v>260</v>
      </c>
      <c r="E35" t="s">
        <v>47</v>
      </c>
      <c r="F35" t="s">
        <v>10</v>
      </c>
      <c r="G35" t="s">
        <v>41</v>
      </c>
      <c r="H35" s="5">
        <v>992</v>
      </c>
      <c r="I35">
        <v>6</v>
      </c>
      <c r="J35" s="5">
        <v>64</v>
      </c>
    </row>
    <row r="36" spans="1:10" x14ac:dyDescent="0.35">
      <c r="A36" s="1">
        <v>43953</v>
      </c>
      <c r="B36" s="2">
        <f>YEAR(Sales_Dataset[[#This Row],[Order Date]])</f>
        <v>2020</v>
      </c>
      <c r="C36" s="2">
        <f>MONTH(Sales_Dataset[[#This Row],[Order Date]])</f>
        <v>5</v>
      </c>
      <c r="D36" t="s">
        <v>636</v>
      </c>
      <c r="E36" t="s">
        <v>36</v>
      </c>
      <c r="F36" t="s">
        <v>10</v>
      </c>
      <c r="G36" t="s">
        <v>23</v>
      </c>
      <c r="H36" s="5">
        <v>3918</v>
      </c>
      <c r="I36">
        <v>8</v>
      </c>
      <c r="J36" s="5">
        <v>749</v>
      </c>
    </row>
    <row r="37" spans="1:10" x14ac:dyDescent="0.35">
      <c r="A37" s="1">
        <v>43955</v>
      </c>
      <c r="B37" s="2">
        <f>YEAR(Sales_Dataset[[#This Row],[Order Date]])</f>
        <v>2020</v>
      </c>
      <c r="C37" s="2">
        <f>MONTH(Sales_Dataset[[#This Row],[Order Date]])</f>
        <v>5</v>
      </c>
      <c r="D37" t="s">
        <v>29</v>
      </c>
      <c r="E37" t="s">
        <v>9</v>
      </c>
      <c r="F37" t="s">
        <v>18</v>
      </c>
      <c r="G37" t="s">
        <v>30</v>
      </c>
      <c r="H37" s="5">
        <v>6851</v>
      </c>
      <c r="I37">
        <v>1</v>
      </c>
      <c r="J37" s="5">
        <v>2812</v>
      </c>
    </row>
    <row r="38" spans="1:10" x14ac:dyDescent="0.35">
      <c r="A38" s="1">
        <v>43955</v>
      </c>
      <c r="B38" s="2">
        <f>YEAR(Sales_Dataset[[#This Row],[Order Date]])</f>
        <v>2020</v>
      </c>
      <c r="C38" s="2">
        <f>MONTH(Sales_Dataset[[#This Row],[Order Date]])</f>
        <v>5</v>
      </c>
      <c r="D38" t="s">
        <v>29</v>
      </c>
      <c r="E38" t="s">
        <v>9</v>
      </c>
      <c r="F38" t="s">
        <v>24</v>
      </c>
      <c r="G38" t="s">
        <v>31</v>
      </c>
      <c r="H38" s="5">
        <v>7626</v>
      </c>
      <c r="I38">
        <v>15</v>
      </c>
      <c r="J38" s="5">
        <v>1046</v>
      </c>
    </row>
    <row r="39" spans="1:10" x14ac:dyDescent="0.35">
      <c r="A39" s="1">
        <v>43955</v>
      </c>
      <c r="B39" s="2">
        <f>YEAR(Sales_Dataset[[#This Row],[Order Date]])</f>
        <v>2020</v>
      </c>
      <c r="C39" s="2">
        <f>MONTH(Sales_Dataset[[#This Row],[Order Date]])</f>
        <v>5</v>
      </c>
      <c r="D39" t="s">
        <v>29</v>
      </c>
      <c r="E39" t="s">
        <v>9</v>
      </c>
      <c r="F39" t="s">
        <v>24</v>
      </c>
      <c r="G39" t="s">
        <v>25</v>
      </c>
      <c r="H39" s="5">
        <v>1023</v>
      </c>
      <c r="I39">
        <v>9</v>
      </c>
      <c r="J39" s="5">
        <v>78</v>
      </c>
    </row>
    <row r="40" spans="1:10" x14ac:dyDescent="0.35">
      <c r="A40" s="1">
        <v>43955</v>
      </c>
      <c r="B40" s="2">
        <f>YEAR(Sales_Dataset[[#This Row],[Order Date]])</f>
        <v>2020</v>
      </c>
      <c r="C40" s="2">
        <f>MONTH(Sales_Dataset[[#This Row],[Order Date]])</f>
        <v>5</v>
      </c>
      <c r="D40" t="s">
        <v>237</v>
      </c>
      <c r="E40" t="s">
        <v>36</v>
      </c>
      <c r="F40" t="s">
        <v>10</v>
      </c>
      <c r="G40" t="s">
        <v>16</v>
      </c>
      <c r="H40" s="5">
        <v>3423</v>
      </c>
      <c r="I40">
        <v>4</v>
      </c>
      <c r="J40" s="5">
        <v>804</v>
      </c>
    </row>
    <row r="41" spans="1:10" x14ac:dyDescent="0.35">
      <c r="A41" s="1">
        <v>43955</v>
      </c>
      <c r="B41" s="2">
        <f>YEAR(Sales_Dataset[[#This Row],[Order Date]])</f>
        <v>2020</v>
      </c>
      <c r="C41" s="2">
        <f>MONTH(Sales_Dataset[[#This Row],[Order Date]])</f>
        <v>5</v>
      </c>
      <c r="D41" t="s">
        <v>639</v>
      </c>
      <c r="E41" t="s">
        <v>9</v>
      </c>
      <c r="F41" t="s">
        <v>18</v>
      </c>
      <c r="G41" t="s">
        <v>33</v>
      </c>
      <c r="H41" s="5">
        <v>5028</v>
      </c>
      <c r="I41">
        <v>13</v>
      </c>
      <c r="J41" s="5">
        <v>1553</v>
      </c>
    </row>
    <row r="42" spans="1:10" x14ac:dyDescent="0.35">
      <c r="A42" s="1">
        <v>43955</v>
      </c>
      <c r="B42" s="2">
        <f>YEAR(Sales_Dataset[[#This Row],[Order Date]])</f>
        <v>2020</v>
      </c>
      <c r="C42" s="2">
        <f>MONTH(Sales_Dataset[[#This Row],[Order Date]])</f>
        <v>5</v>
      </c>
      <c r="D42" t="s">
        <v>783</v>
      </c>
      <c r="E42" t="s">
        <v>15</v>
      </c>
      <c r="F42" t="s">
        <v>10</v>
      </c>
      <c r="G42" t="s">
        <v>41</v>
      </c>
      <c r="H42" s="5">
        <v>6528</v>
      </c>
      <c r="I42">
        <v>9</v>
      </c>
      <c r="J42" s="5">
        <v>76</v>
      </c>
    </row>
    <row r="43" spans="1:10" x14ac:dyDescent="0.35">
      <c r="A43" s="1">
        <v>43955</v>
      </c>
      <c r="B43" s="2">
        <f>YEAR(Sales_Dataset[[#This Row],[Order Date]])</f>
        <v>2020</v>
      </c>
      <c r="C43" s="2">
        <f>MONTH(Sales_Dataset[[#This Row],[Order Date]])</f>
        <v>5</v>
      </c>
      <c r="D43" t="s">
        <v>783</v>
      </c>
      <c r="E43" t="s">
        <v>15</v>
      </c>
      <c r="F43" t="s">
        <v>24</v>
      </c>
      <c r="G43" t="s">
        <v>31</v>
      </c>
      <c r="H43" s="5">
        <v>8930</v>
      </c>
      <c r="I43">
        <v>12</v>
      </c>
      <c r="J43" s="5">
        <v>3374</v>
      </c>
    </row>
    <row r="44" spans="1:10" x14ac:dyDescent="0.35">
      <c r="A44" s="1">
        <v>43962</v>
      </c>
      <c r="B44" s="2">
        <f>YEAR(Sales_Dataset[[#This Row],[Order Date]])</f>
        <v>2020</v>
      </c>
      <c r="C44" s="2">
        <f>MONTH(Sales_Dataset[[#This Row],[Order Date]])</f>
        <v>5</v>
      </c>
      <c r="D44" t="s">
        <v>731</v>
      </c>
      <c r="E44" t="s">
        <v>36</v>
      </c>
      <c r="F44" t="s">
        <v>10</v>
      </c>
      <c r="G44" t="s">
        <v>11</v>
      </c>
      <c r="H44" s="5">
        <v>2684</v>
      </c>
      <c r="I44">
        <v>2</v>
      </c>
      <c r="J44" s="5">
        <v>713</v>
      </c>
    </row>
    <row r="45" spans="1:10" x14ac:dyDescent="0.35">
      <c r="A45" s="1">
        <v>43964</v>
      </c>
      <c r="B45" s="2">
        <f>YEAR(Sales_Dataset[[#This Row],[Order Date]])</f>
        <v>2020</v>
      </c>
      <c r="C45" s="2">
        <f>MONTH(Sales_Dataset[[#This Row],[Order Date]])</f>
        <v>5</v>
      </c>
      <c r="D45" t="s">
        <v>418</v>
      </c>
      <c r="E45" t="s">
        <v>36</v>
      </c>
      <c r="F45" t="s">
        <v>24</v>
      </c>
      <c r="G45" t="s">
        <v>31</v>
      </c>
      <c r="H45" s="5">
        <v>7441</v>
      </c>
      <c r="I45">
        <v>12</v>
      </c>
      <c r="J45" s="5">
        <v>867</v>
      </c>
    </row>
    <row r="46" spans="1:10" x14ac:dyDescent="0.35">
      <c r="A46" s="1">
        <v>43965</v>
      </c>
      <c r="B46" s="2">
        <f>YEAR(Sales_Dataset[[#This Row],[Order Date]])</f>
        <v>2020</v>
      </c>
      <c r="C46" s="2">
        <f>MONTH(Sales_Dataset[[#This Row],[Order Date]])</f>
        <v>5</v>
      </c>
      <c r="D46" t="s">
        <v>120</v>
      </c>
      <c r="E46" t="s">
        <v>9</v>
      </c>
      <c r="F46" t="s">
        <v>18</v>
      </c>
      <c r="G46" t="s">
        <v>33</v>
      </c>
      <c r="H46" s="5">
        <v>6517</v>
      </c>
      <c r="I46">
        <v>10</v>
      </c>
      <c r="J46" s="5">
        <v>1581</v>
      </c>
    </row>
    <row r="47" spans="1:10" x14ac:dyDescent="0.35">
      <c r="A47" s="1">
        <v>43965</v>
      </c>
      <c r="B47" s="2">
        <f>YEAR(Sales_Dataset[[#This Row],[Order Date]])</f>
        <v>2020</v>
      </c>
      <c r="C47" s="2">
        <f>MONTH(Sales_Dataset[[#This Row],[Order Date]])</f>
        <v>5</v>
      </c>
      <c r="D47" t="s">
        <v>120</v>
      </c>
      <c r="E47" t="s">
        <v>9</v>
      </c>
      <c r="F47" t="s">
        <v>24</v>
      </c>
      <c r="G47" t="s">
        <v>25</v>
      </c>
      <c r="H47" s="5">
        <v>1166</v>
      </c>
      <c r="I47">
        <v>11</v>
      </c>
      <c r="J47" s="5">
        <v>349</v>
      </c>
    </row>
    <row r="48" spans="1:10" x14ac:dyDescent="0.35">
      <c r="A48" s="1">
        <v>43968</v>
      </c>
      <c r="B48" s="2">
        <f>YEAR(Sales_Dataset[[#This Row],[Order Date]])</f>
        <v>2020</v>
      </c>
      <c r="C48" s="2">
        <f>MONTH(Sales_Dataset[[#This Row],[Order Date]])</f>
        <v>5</v>
      </c>
      <c r="D48" t="s">
        <v>89</v>
      </c>
      <c r="E48" t="s">
        <v>9</v>
      </c>
      <c r="F48" t="s">
        <v>24</v>
      </c>
      <c r="G48" t="s">
        <v>31</v>
      </c>
      <c r="H48" s="5">
        <v>9109</v>
      </c>
      <c r="I48">
        <v>17</v>
      </c>
      <c r="J48" s="5">
        <v>586</v>
      </c>
    </row>
    <row r="49" spans="1:10" x14ac:dyDescent="0.35">
      <c r="A49" s="1">
        <v>43973</v>
      </c>
      <c r="B49" s="2">
        <f>YEAR(Sales_Dataset[[#This Row],[Order Date]])</f>
        <v>2020</v>
      </c>
      <c r="C49" s="2">
        <f>MONTH(Sales_Dataset[[#This Row],[Order Date]])</f>
        <v>5</v>
      </c>
      <c r="D49" t="s">
        <v>178</v>
      </c>
      <c r="E49" t="s">
        <v>22</v>
      </c>
      <c r="F49" t="s">
        <v>18</v>
      </c>
      <c r="G49" t="s">
        <v>30</v>
      </c>
      <c r="H49" s="5">
        <v>2465</v>
      </c>
      <c r="I49">
        <v>18</v>
      </c>
      <c r="J49" s="5">
        <v>699</v>
      </c>
    </row>
    <row r="50" spans="1:10" x14ac:dyDescent="0.35">
      <c r="A50" s="1">
        <v>43974</v>
      </c>
      <c r="B50" s="2">
        <f>YEAR(Sales_Dataset[[#This Row],[Order Date]])</f>
        <v>2020</v>
      </c>
      <c r="C50" s="2">
        <f>MONTH(Sales_Dataset[[#This Row],[Order Date]])</f>
        <v>5</v>
      </c>
      <c r="D50" t="s">
        <v>524</v>
      </c>
      <c r="E50" t="s">
        <v>22</v>
      </c>
      <c r="F50" t="s">
        <v>18</v>
      </c>
      <c r="G50" t="s">
        <v>19</v>
      </c>
      <c r="H50" s="5">
        <v>3573</v>
      </c>
      <c r="I50">
        <v>7</v>
      </c>
      <c r="J50" s="5">
        <v>562</v>
      </c>
    </row>
    <row r="51" spans="1:10" x14ac:dyDescent="0.35">
      <c r="A51" s="1">
        <v>43974</v>
      </c>
      <c r="B51" s="2">
        <f>YEAR(Sales_Dataset[[#This Row],[Order Date]])</f>
        <v>2020</v>
      </c>
      <c r="C51" s="2">
        <f>MONTH(Sales_Dataset[[#This Row],[Order Date]])</f>
        <v>5</v>
      </c>
      <c r="D51" t="s">
        <v>524</v>
      </c>
      <c r="E51" t="s">
        <v>22</v>
      </c>
      <c r="F51" t="s">
        <v>10</v>
      </c>
      <c r="G51" t="s">
        <v>41</v>
      </c>
      <c r="H51" s="5">
        <v>8055</v>
      </c>
      <c r="I51">
        <v>10</v>
      </c>
      <c r="J51" s="5">
        <v>661</v>
      </c>
    </row>
    <row r="52" spans="1:10" x14ac:dyDescent="0.35">
      <c r="A52" s="1">
        <v>43975</v>
      </c>
      <c r="B52" s="2">
        <f>YEAR(Sales_Dataset[[#This Row],[Order Date]])</f>
        <v>2020</v>
      </c>
      <c r="C52" s="2">
        <f>MONTH(Sales_Dataset[[#This Row],[Order Date]])</f>
        <v>5</v>
      </c>
      <c r="D52" t="s">
        <v>457</v>
      </c>
      <c r="E52" t="s">
        <v>47</v>
      </c>
      <c r="F52" t="s">
        <v>10</v>
      </c>
      <c r="G52" t="s">
        <v>23</v>
      </c>
      <c r="H52" s="5">
        <v>1579</v>
      </c>
      <c r="I52">
        <v>9</v>
      </c>
      <c r="J52" s="5">
        <v>602</v>
      </c>
    </row>
    <row r="53" spans="1:10" x14ac:dyDescent="0.35">
      <c r="A53" s="1">
        <v>43975</v>
      </c>
      <c r="B53" s="2">
        <f>YEAR(Sales_Dataset[[#This Row],[Order Date]])</f>
        <v>2020</v>
      </c>
      <c r="C53" s="2">
        <f>MONTH(Sales_Dataset[[#This Row],[Order Date]])</f>
        <v>5</v>
      </c>
      <c r="D53" t="s">
        <v>457</v>
      </c>
      <c r="E53" t="s">
        <v>47</v>
      </c>
      <c r="F53" t="s">
        <v>24</v>
      </c>
      <c r="G53" t="s">
        <v>27</v>
      </c>
      <c r="H53" s="5">
        <v>3760</v>
      </c>
      <c r="I53">
        <v>19</v>
      </c>
      <c r="J53" s="5">
        <v>1849</v>
      </c>
    </row>
    <row r="54" spans="1:10" x14ac:dyDescent="0.35">
      <c r="A54" s="1">
        <v>43975</v>
      </c>
      <c r="B54" s="2">
        <f>YEAR(Sales_Dataset[[#This Row],[Order Date]])</f>
        <v>2020</v>
      </c>
      <c r="C54" s="2">
        <f>MONTH(Sales_Dataset[[#This Row],[Order Date]])</f>
        <v>5</v>
      </c>
      <c r="D54" t="s">
        <v>539</v>
      </c>
      <c r="E54" t="s">
        <v>15</v>
      </c>
      <c r="F54" t="s">
        <v>18</v>
      </c>
      <c r="G54" t="s">
        <v>19</v>
      </c>
      <c r="H54" s="5">
        <v>8490</v>
      </c>
      <c r="I54">
        <v>1</v>
      </c>
      <c r="J54" s="5">
        <v>800</v>
      </c>
    </row>
    <row r="55" spans="1:10" x14ac:dyDescent="0.35">
      <c r="A55" s="1">
        <v>43984</v>
      </c>
      <c r="B55" s="2">
        <f>YEAR(Sales_Dataset[[#This Row],[Order Date]])</f>
        <v>2020</v>
      </c>
      <c r="C55" s="2">
        <f>MONTH(Sales_Dataset[[#This Row],[Order Date]])</f>
        <v>6</v>
      </c>
      <c r="D55" t="s">
        <v>827</v>
      </c>
      <c r="E55" t="s">
        <v>15</v>
      </c>
      <c r="F55" t="s">
        <v>10</v>
      </c>
      <c r="G55" t="s">
        <v>41</v>
      </c>
      <c r="H55" s="5">
        <v>2082</v>
      </c>
      <c r="I55">
        <v>8</v>
      </c>
      <c r="J55" s="5">
        <v>642</v>
      </c>
    </row>
    <row r="56" spans="1:10" x14ac:dyDescent="0.35">
      <c r="A56" s="1">
        <v>43989</v>
      </c>
      <c r="B56" s="2">
        <f>YEAR(Sales_Dataset[[#This Row],[Order Date]])</f>
        <v>2020</v>
      </c>
      <c r="C56" s="2">
        <f>MONTH(Sales_Dataset[[#This Row],[Order Date]])</f>
        <v>6</v>
      </c>
      <c r="D56" t="s">
        <v>746</v>
      </c>
      <c r="E56" t="s">
        <v>15</v>
      </c>
      <c r="F56" t="s">
        <v>24</v>
      </c>
      <c r="G56" t="s">
        <v>31</v>
      </c>
      <c r="H56" s="5">
        <v>5461</v>
      </c>
      <c r="I56">
        <v>7</v>
      </c>
      <c r="J56" s="5">
        <v>1214</v>
      </c>
    </row>
    <row r="57" spans="1:10" x14ac:dyDescent="0.35">
      <c r="A57" s="1">
        <v>43998</v>
      </c>
      <c r="B57" s="2">
        <f>YEAR(Sales_Dataset[[#This Row],[Order Date]])</f>
        <v>2020</v>
      </c>
      <c r="C57" s="2">
        <f>MONTH(Sales_Dataset[[#This Row],[Order Date]])</f>
        <v>6</v>
      </c>
      <c r="D57" t="s">
        <v>217</v>
      </c>
      <c r="E57" t="s">
        <v>15</v>
      </c>
      <c r="F57" t="s">
        <v>10</v>
      </c>
      <c r="G57" t="s">
        <v>23</v>
      </c>
      <c r="H57" s="5">
        <v>1231</v>
      </c>
      <c r="I57">
        <v>20</v>
      </c>
      <c r="J57" s="5">
        <v>214</v>
      </c>
    </row>
    <row r="58" spans="1:10" x14ac:dyDescent="0.35">
      <c r="A58" s="1">
        <v>43999</v>
      </c>
      <c r="B58" s="2">
        <f>YEAR(Sales_Dataset[[#This Row],[Order Date]])</f>
        <v>2020</v>
      </c>
      <c r="C58" s="2">
        <f>MONTH(Sales_Dataset[[#This Row],[Order Date]])</f>
        <v>6</v>
      </c>
      <c r="D58" t="s">
        <v>152</v>
      </c>
      <c r="E58" t="s">
        <v>22</v>
      </c>
      <c r="F58" t="s">
        <v>18</v>
      </c>
      <c r="G58" t="s">
        <v>30</v>
      </c>
      <c r="H58" s="5">
        <v>9965</v>
      </c>
      <c r="I58">
        <v>16</v>
      </c>
      <c r="J58" s="5">
        <v>3033</v>
      </c>
    </row>
    <row r="59" spans="1:10" x14ac:dyDescent="0.35">
      <c r="A59" s="1">
        <v>44003</v>
      </c>
      <c r="B59" s="2">
        <f>YEAR(Sales_Dataset[[#This Row],[Order Date]])</f>
        <v>2020</v>
      </c>
      <c r="C59" s="2">
        <f>MONTH(Sales_Dataset[[#This Row],[Order Date]])</f>
        <v>6</v>
      </c>
      <c r="D59" t="s">
        <v>371</v>
      </c>
      <c r="E59" t="s">
        <v>22</v>
      </c>
      <c r="F59" t="s">
        <v>10</v>
      </c>
      <c r="G59" t="s">
        <v>41</v>
      </c>
      <c r="H59" s="5">
        <v>8994</v>
      </c>
      <c r="I59">
        <v>15</v>
      </c>
      <c r="J59" s="5">
        <v>1481</v>
      </c>
    </row>
    <row r="60" spans="1:10" x14ac:dyDescent="0.35">
      <c r="A60" s="1">
        <v>44003</v>
      </c>
      <c r="B60" s="2">
        <f>YEAR(Sales_Dataset[[#This Row],[Order Date]])</f>
        <v>2020</v>
      </c>
      <c r="C60" s="2">
        <f>MONTH(Sales_Dataset[[#This Row],[Order Date]])</f>
        <v>6</v>
      </c>
      <c r="D60" t="s">
        <v>593</v>
      </c>
      <c r="E60" t="s">
        <v>22</v>
      </c>
      <c r="F60" t="s">
        <v>10</v>
      </c>
      <c r="G60" t="s">
        <v>16</v>
      </c>
      <c r="H60" s="5">
        <v>2472</v>
      </c>
      <c r="I60">
        <v>5</v>
      </c>
      <c r="J60" s="5">
        <v>211</v>
      </c>
    </row>
    <row r="61" spans="1:10" x14ac:dyDescent="0.35">
      <c r="A61" s="1">
        <v>44005</v>
      </c>
      <c r="B61" s="2">
        <f>YEAR(Sales_Dataset[[#This Row],[Order Date]])</f>
        <v>2020</v>
      </c>
      <c r="C61" s="2">
        <f>MONTH(Sales_Dataset[[#This Row],[Order Date]])</f>
        <v>6</v>
      </c>
      <c r="D61" t="s">
        <v>255</v>
      </c>
      <c r="E61" t="s">
        <v>15</v>
      </c>
      <c r="F61" t="s">
        <v>24</v>
      </c>
      <c r="G61" t="s">
        <v>31</v>
      </c>
      <c r="H61" s="5">
        <v>7684</v>
      </c>
      <c r="I61">
        <v>12</v>
      </c>
      <c r="J61" s="5">
        <v>1157</v>
      </c>
    </row>
    <row r="62" spans="1:10" x14ac:dyDescent="0.35">
      <c r="A62" s="1">
        <v>44005</v>
      </c>
      <c r="B62" s="2">
        <f>YEAR(Sales_Dataset[[#This Row],[Order Date]])</f>
        <v>2020</v>
      </c>
      <c r="C62" s="2">
        <f>MONTH(Sales_Dataset[[#This Row],[Order Date]])</f>
        <v>6</v>
      </c>
      <c r="D62" t="s">
        <v>755</v>
      </c>
      <c r="E62" t="s">
        <v>13</v>
      </c>
      <c r="F62" t="s">
        <v>24</v>
      </c>
      <c r="G62" t="s">
        <v>31</v>
      </c>
      <c r="H62" s="5">
        <v>7786</v>
      </c>
      <c r="I62">
        <v>4</v>
      </c>
      <c r="J62" s="5">
        <v>1202</v>
      </c>
    </row>
    <row r="63" spans="1:10" x14ac:dyDescent="0.35">
      <c r="A63" s="1">
        <v>44006</v>
      </c>
      <c r="B63" s="2">
        <f>YEAR(Sales_Dataset[[#This Row],[Order Date]])</f>
        <v>2020</v>
      </c>
      <c r="C63" s="2">
        <f>MONTH(Sales_Dataset[[#This Row],[Order Date]])</f>
        <v>6</v>
      </c>
      <c r="D63" t="s">
        <v>467</v>
      </c>
      <c r="E63" t="s">
        <v>9</v>
      </c>
      <c r="F63" t="s">
        <v>24</v>
      </c>
      <c r="G63" t="s">
        <v>25</v>
      </c>
      <c r="H63" s="5">
        <v>717</v>
      </c>
      <c r="I63">
        <v>16</v>
      </c>
      <c r="J63" s="5">
        <v>158</v>
      </c>
    </row>
    <row r="64" spans="1:10" x14ac:dyDescent="0.35">
      <c r="A64" s="1">
        <v>44006</v>
      </c>
      <c r="B64" s="2">
        <f>YEAR(Sales_Dataset[[#This Row],[Order Date]])</f>
        <v>2020</v>
      </c>
      <c r="C64" s="2">
        <f>MONTH(Sales_Dataset[[#This Row],[Order Date]])</f>
        <v>6</v>
      </c>
      <c r="D64" t="s">
        <v>467</v>
      </c>
      <c r="E64" t="s">
        <v>9</v>
      </c>
      <c r="F64" t="s">
        <v>24</v>
      </c>
      <c r="G64" t="s">
        <v>31</v>
      </c>
      <c r="H64" s="5">
        <v>508</v>
      </c>
      <c r="I64">
        <v>17</v>
      </c>
      <c r="J64" s="5">
        <v>177</v>
      </c>
    </row>
    <row r="65" spans="1:10" x14ac:dyDescent="0.35">
      <c r="A65" s="1">
        <v>44016</v>
      </c>
      <c r="B65" s="2">
        <f>YEAR(Sales_Dataset[[#This Row],[Order Date]])</f>
        <v>2020</v>
      </c>
      <c r="C65" s="2">
        <f>MONTH(Sales_Dataset[[#This Row],[Order Date]])</f>
        <v>7</v>
      </c>
      <c r="D65" t="s">
        <v>606</v>
      </c>
      <c r="E65" t="s">
        <v>15</v>
      </c>
      <c r="F65" t="s">
        <v>18</v>
      </c>
      <c r="G65" t="s">
        <v>19</v>
      </c>
      <c r="H65" s="5">
        <v>1778</v>
      </c>
      <c r="I65">
        <v>4</v>
      </c>
      <c r="J65" s="5">
        <v>285</v>
      </c>
    </row>
    <row r="66" spans="1:10" x14ac:dyDescent="0.35">
      <c r="A66" s="1">
        <v>44016</v>
      </c>
      <c r="B66" s="2">
        <f>YEAR(Sales_Dataset[[#This Row],[Order Date]])</f>
        <v>2020</v>
      </c>
      <c r="C66" s="2">
        <f>MONTH(Sales_Dataset[[#This Row],[Order Date]])</f>
        <v>7</v>
      </c>
      <c r="D66" t="s">
        <v>378</v>
      </c>
      <c r="E66" t="s">
        <v>47</v>
      </c>
      <c r="F66" t="s">
        <v>18</v>
      </c>
      <c r="G66" t="s">
        <v>19</v>
      </c>
      <c r="H66" s="5">
        <v>2101</v>
      </c>
      <c r="I66">
        <v>8</v>
      </c>
      <c r="J66" s="5">
        <v>287</v>
      </c>
    </row>
    <row r="67" spans="1:10" x14ac:dyDescent="0.35">
      <c r="A67" s="1">
        <v>44018</v>
      </c>
      <c r="B67" s="2">
        <f>YEAR(Sales_Dataset[[#This Row],[Order Date]])</f>
        <v>2020</v>
      </c>
      <c r="C67" s="2">
        <f>MONTH(Sales_Dataset[[#This Row],[Order Date]])</f>
        <v>7</v>
      </c>
      <c r="D67" t="s">
        <v>703</v>
      </c>
      <c r="E67" t="s">
        <v>47</v>
      </c>
      <c r="F67" t="s">
        <v>18</v>
      </c>
      <c r="G67" t="s">
        <v>30</v>
      </c>
      <c r="H67" s="5">
        <v>9775</v>
      </c>
      <c r="I67">
        <v>5</v>
      </c>
      <c r="J67" s="5">
        <v>4507</v>
      </c>
    </row>
    <row r="68" spans="1:10" x14ac:dyDescent="0.35">
      <c r="A68" s="1">
        <v>44021</v>
      </c>
      <c r="B68" s="2">
        <f>YEAR(Sales_Dataset[[#This Row],[Order Date]])</f>
        <v>2020</v>
      </c>
      <c r="C68" s="2">
        <f>MONTH(Sales_Dataset[[#This Row],[Order Date]])</f>
        <v>7</v>
      </c>
      <c r="D68" t="s">
        <v>234</v>
      </c>
      <c r="E68" t="s">
        <v>13</v>
      </c>
      <c r="F68" t="s">
        <v>10</v>
      </c>
      <c r="G68" t="s">
        <v>16</v>
      </c>
      <c r="H68" s="5">
        <v>3423</v>
      </c>
      <c r="I68">
        <v>4</v>
      </c>
      <c r="J68" s="5">
        <v>804</v>
      </c>
    </row>
    <row r="69" spans="1:10" x14ac:dyDescent="0.35">
      <c r="A69" s="1">
        <v>44024</v>
      </c>
      <c r="B69" s="2">
        <f>YEAR(Sales_Dataset[[#This Row],[Order Date]])</f>
        <v>2020</v>
      </c>
      <c r="C69" s="2">
        <f>MONTH(Sales_Dataset[[#This Row],[Order Date]])</f>
        <v>7</v>
      </c>
      <c r="D69" t="s">
        <v>645</v>
      </c>
      <c r="E69" t="s">
        <v>13</v>
      </c>
      <c r="F69" t="s">
        <v>18</v>
      </c>
      <c r="G69" t="s">
        <v>30</v>
      </c>
      <c r="H69" s="5">
        <v>3747</v>
      </c>
      <c r="I69">
        <v>5</v>
      </c>
      <c r="J69" s="5">
        <v>410</v>
      </c>
    </row>
    <row r="70" spans="1:10" x14ac:dyDescent="0.35">
      <c r="A70" s="1">
        <v>44024</v>
      </c>
      <c r="B70" s="2">
        <f>YEAR(Sales_Dataset[[#This Row],[Order Date]])</f>
        <v>2020</v>
      </c>
      <c r="C70" s="2">
        <f>MONTH(Sales_Dataset[[#This Row],[Order Date]])</f>
        <v>7</v>
      </c>
      <c r="D70" t="s">
        <v>645</v>
      </c>
      <c r="E70" t="s">
        <v>13</v>
      </c>
      <c r="F70" t="s">
        <v>18</v>
      </c>
      <c r="G70" t="s">
        <v>39</v>
      </c>
      <c r="H70" s="5">
        <v>3194</v>
      </c>
      <c r="I70">
        <v>4</v>
      </c>
      <c r="J70" s="5">
        <v>534</v>
      </c>
    </row>
    <row r="71" spans="1:10" x14ac:dyDescent="0.35">
      <c r="A71" s="1">
        <v>44025</v>
      </c>
      <c r="B71" s="2">
        <f>YEAR(Sales_Dataset[[#This Row],[Order Date]])</f>
        <v>2020</v>
      </c>
      <c r="C71" s="2">
        <f>MONTH(Sales_Dataset[[#This Row],[Order Date]])</f>
        <v>7</v>
      </c>
      <c r="D71" t="s">
        <v>532</v>
      </c>
      <c r="E71" t="s">
        <v>13</v>
      </c>
      <c r="F71" t="s">
        <v>18</v>
      </c>
      <c r="G71" t="s">
        <v>19</v>
      </c>
      <c r="H71" s="5">
        <v>4183</v>
      </c>
      <c r="I71">
        <v>4</v>
      </c>
      <c r="J71" s="5">
        <v>1159</v>
      </c>
    </row>
    <row r="72" spans="1:10" x14ac:dyDescent="0.35">
      <c r="A72" s="1">
        <v>44028</v>
      </c>
      <c r="B72" s="2">
        <f>YEAR(Sales_Dataset[[#This Row],[Order Date]])</f>
        <v>2020</v>
      </c>
      <c r="C72" s="2">
        <f>MONTH(Sales_Dataset[[#This Row],[Order Date]])</f>
        <v>7</v>
      </c>
      <c r="D72" t="s">
        <v>259</v>
      </c>
      <c r="E72" t="s">
        <v>9</v>
      </c>
      <c r="F72" t="s">
        <v>18</v>
      </c>
      <c r="G72" t="s">
        <v>19</v>
      </c>
      <c r="H72" s="5">
        <v>6932</v>
      </c>
      <c r="I72">
        <v>20</v>
      </c>
      <c r="J72" s="5">
        <v>3218</v>
      </c>
    </row>
    <row r="73" spans="1:10" x14ac:dyDescent="0.35">
      <c r="A73" s="1">
        <v>44037</v>
      </c>
      <c r="B73" s="2">
        <f>YEAR(Sales_Dataset[[#This Row],[Order Date]])</f>
        <v>2020</v>
      </c>
      <c r="C73" s="2">
        <f>MONTH(Sales_Dataset[[#This Row],[Order Date]])</f>
        <v>7</v>
      </c>
      <c r="D73" t="s">
        <v>235</v>
      </c>
      <c r="E73" t="s">
        <v>36</v>
      </c>
      <c r="F73" t="s">
        <v>10</v>
      </c>
      <c r="G73" t="s">
        <v>16</v>
      </c>
      <c r="H73" s="5">
        <v>3423</v>
      </c>
      <c r="I73">
        <v>4</v>
      </c>
      <c r="J73" s="5">
        <v>804</v>
      </c>
    </row>
    <row r="74" spans="1:10" x14ac:dyDescent="0.35">
      <c r="A74" s="1">
        <v>44048</v>
      </c>
      <c r="B74" s="2">
        <f>YEAR(Sales_Dataset[[#This Row],[Order Date]])</f>
        <v>2020</v>
      </c>
      <c r="C74" s="2">
        <f>MONTH(Sales_Dataset[[#This Row],[Order Date]])</f>
        <v>8</v>
      </c>
      <c r="D74" t="s">
        <v>748</v>
      </c>
      <c r="E74" t="s">
        <v>15</v>
      </c>
      <c r="F74" t="s">
        <v>24</v>
      </c>
      <c r="G74" t="s">
        <v>31</v>
      </c>
      <c r="H74" s="5">
        <v>6087</v>
      </c>
      <c r="I74">
        <v>1</v>
      </c>
      <c r="J74" s="5">
        <v>3043</v>
      </c>
    </row>
    <row r="75" spans="1:10" x14ac:dyDescent="0.35">
      <c r="A75" s="1">
        <v>44050</v>
      </c>
      <c r="B75" s="2">
        <f>YEAR(Sales_Dataset[[#This Row],[Order Date]])</f>
        <v>2020</v>
      </c>
      <c r="C75" s="2">
        <f>MONTH(Sales_Dataset[[#This Row],[Order Date]])</f>
        <v>8</v>
      </c>
      <c r="D75" t="s">
        <v>829</v>
      </c>
      <c r="E75" t="s">
        <v>15</v>
      </c>
      <c r="F75" t="s">
        <v>10</v>
      </c>
      <c r="G75" t="s">
        <v>41</v>
      </c>
      <c r="H75" s="5">
        <v>2082</v>
      </c>
      <c r="I75">
        <v>8</v>
      </c>
      <c r="J75" s="5">
        <v>642</v>
      </c>
    </row>
    <row r="76" spans="1:10" x14ac:dyDescent="0.35">
      <c r="A76" s="1">
        <v>44052</v>
      </c>
      <c r="B76" s="2">
        <f>YEAR(Sales_Dataset[[#This Row],[Order Date]])</f>
        <v>2020</v>
      </c>
      <c r="C76" s="2">
        <f>MONTH(Sales_Dataset[[#This Row],[Order Date]])</f>
        <v>8</v>
      </c>
      <c r="D76" t="s">
        <v>821</v>
      </c>
      <c r="E76" t="s">
        <v>9</v>
      </c>
      <c r="F76" t="s">
        <v>18</v>
      </c>
      <c r="G76" t="s">
        <v>39</v>
      </c>
      <c r="H76" s="5">
        <v>1961</v>
      </c>
      <c r="I76">
        <v>12</v>
      </c>
      <c r="J76" s="5">
        <v>59</v>
      </c>
    </row>
    <row r="77" spans="1:10" x14ac:dyDescent="0.35">
      <c r="A77" s="1">
        <v>44053</v>
      </c>
      <c r="B77" s="2">
        <f>YEAR(Sales_Dataset[[#This Row],[Order Date]])</f>
        <v>2020</v>
      </c>
      <c r="C77" s="2">
        <f>MONTH(Sales_Dataset[[#This Row],[Order Date]])</f>
        <v>8</v>
      </c>
      <c r="D77" t="s">
        <v>530</v>
      </c>
      <c r="E77" t="s">
        <v>13</v>
      </c>
      <c r="F77" t="s">
        <v>24</v>
      </c>
      <c r="G77" t="s">
        <v>31</v>
      </c>
      <c r="H77" s="5">
        <v>7952</v>
      </c>
      <c r="I77">
        <v>8</v>
      </c>
      <c r="J77" s="5">
        <v>3865</v>
      </c>
    </row>
    <row r="78" spans="1:10" x14ac:dyDescent="0.35">
      <c r="A78" s="1">
        <v>44053</v>
      </c>
      <c r="B78" s="2">
        <f>YEAR(Sales_Dataset[[#This Row],[Order Date]])</f>
        <v>2020</v>
      </c>
      <c r="C78" s="2">
        <f>MONTH(Sales_Dataset[[#This Row],[Order Date]])</f>
        <v>8</v>
      </c>
      <c r="D78" t="s">
        <v>780</v>
      </c>
      <c r="E78" t="s">
        <v>47</v>
      </c>
      <c r="F78" t="s">
        <v>18</v>
      </c>
      <c r="G78" t="s">
        <v>33</v>
      </c>
      <c r="H78" s="5">
        <v>9873</v>
      </c>
      <c r="I78">
        <v>7</v>
      </c>
      <c r="J78" s="5">
        <v>4585</v>
      </c>
    </row>
    <row r="79" spans="1:10" x14ac:dyDescent="0.35">
      <c r="A79" s="1">
        <v>44054</v>
      </c>
      <c r="B79" s="2">
        <f>YEAR(Sales_Dataset[[#This Row],[Order Date]])</f>
        <v>2020</v>
      </c>
      <c r="C79" s="2">
        <f>MONTH(Sales_Dataset[[#This Row],[Order Date]])</f>
        <v>8</v>
      </c>
      <c r="D79" t="s">
        <v>656</v>
      </c>
      <c r="E79" t="s">
        <v>47</v>
      </c>
      <c r="F79" t="s">
        <v>10</v>
      </c>
      <c r="G79" t="s">
        <v>11</v>
      </c>
      <c r="H79" s="5">
        <v>7493</v>
      </c>
      <c r="I79">
        <v>3</v>
      </c>
      <c r="J79" s="5">
        <v>96</v>
      </c>
    </row>
    <row r="80" spans="1:10" x14ac:dyDescent="0.35">
      <c r="A80" s="1">
        <v>44059</v>
      </c>
      <c r="B80" s="2">
        <f>YEAR(Sales_Dataset[[#This Row],[Order Date]])</f>
        <v>2020</v>
      </c>
      <c r="C80" s="2">
        <f>MONTH(Sales_Dataset[[#This Row],[Order Date]])</f>
        <v>8</v>
      </c>
      <c r="D80" t="s">
        <v>204</v>
      </c>
      <c r="E80" t="s">
        <v>22</v>
      </c>
      <c r="F80" t="s">
        <v>24</v>
      </c>
      <c r="G80" t="s">
        <v>31</v>
      </c>
      <c r="H80" s="5">
        <v>2119</v>
      </c>
      <c r="I80">
        <v>1</v>
      </c>
      <c r="J80" s="5">
        <v>196</v>
      </c>
    </row>
    <row r="81" spans="1:10" x14ac:dyDescent="0.35">
      <c r="A81" s="1">
        <v>44061</v>
      </c>
      <c r="B81" s="2">
        <f>YEAR(Sales_Dataset[[#This Row],[Order Date]])</f>
        <v>2020</v>
      </c>
      <c r="C81" s="2">
        <f>MONTH(Sales_Dataset[[#This Row],[Order Date]])</f>
        <v>8</v>
      </c>
      <c r="D81" t="s">
        <v>83</v>
      </c>
      <c r="E81" t="s">
        <v>22</v>
      </c>
      <c r="F81" t="s">
        <v>24</v>
      </c>
      <c r="G81" t="s">
        <v>27</v>
      </c>
      <c r="H81" s="5">
        <v>7595</v>
      </c>
      <c r="I81">
        <v>4</v>
      </c>
      <c r="J81" s="5">
        <v>2873</v>
      </c>
    </row>
    <row r="82" spans="1:10" x14ac:dyDescent="0.35">
      <c r="A82" s="1">
        <v>44062</v>
      </c>
      <c r="B82" s="2">
        <f>YEAR(Sales_Dataset[[#This Row],[Order Date]])</f>
        <v>2020</v>
      </c>
      <c r="C82" s="2">
        <f>MONTH(Sales_Dataset[[#This Row],[Order Date]])</f>
        <v>8</v>
      </c>
      <c r="D82" t="s">
        <v>293</v>
      </c>
      <c r="E82" t="s">
        <v>22</v>
      </c>
      <c r="F82" t="s">
        <v>18</v>
      </c>
      <c r="G82" t="s">
        <v>30</v>
      </c>
      <c r="H82" s="5">
        <v>9386</v>
      </c>
      <c r="I82">
        <v>20</v>
      </c>
      <c r="J82" s="5">
        <v>2555</v>
      </c>
    </row>
    <row r="83" spans="1:10" x14ac:dyDescent="0.35">
      <c r="A83" s="1">
        <v>44064</v>
      </c>
      <c r="B83" s="2">
        <f>YEAR(Sales_Dataset[[#This Row],[Order Date]])</f>
        <v>2020</v>
      </c>
      <c r="C83" s="2">
        <f>MONTH(Sales_Dataset[[#This Row],[Order Date]])</f>
        <v>8</v>
      </c>
      <c r="D83" t="s">
        <v>133</v>
      </c>
      <c r="E83" t="s">
        <v>36</v>
      </c>
      <c r="F83" t="s">
        <v>10</v>
      </c>
      <c r="G83" t="s">
        <v>41</v>
      </c>
      <c r="H83" s="5">
        <v>8346</v>
      </c>
      <c r="I83">
        <v>1</v>
      </c>
      <c r="J83" s="5">
        <v>1176</v>
      </c>
    </row>
    <row r="84" spans="1:10" x14ac:dyDescent="0.35">
      <c r="A84" s="1">
        <v>44064</v>
      </c>
      <c r="B84" s="2">
        <f>YEAR(Sales_Dataset[[#This Row],[Order Date]])</f>
        <v>2020</v>
      </c>
      <c r="C84" s="2">
        <f>MONTH(Sales_Dataset[[#This Row],[Order Date]])</f>
        <v>8</v>
      </c>
      <c r="D84" t="s">
        <v>133</v>
      </c>
      <c r="E84" t="s">
        <v>36</v>
      </c>
      <c r="F84" t="s">
        <v>24</v>
      </c>
      <c r="G84" t="s">
        <v>25</v>
      </c>
      <c r="H84" s="5">
        <v>6218</v>
      </c>
      <c r="I84">
        <v>5</v>
      </c>
      <c r="J84" s="5">
        <v>1125</v>
      </c>
    </row>
    <row r="85" spans="1:10" x14ac:dyDescent="0.35">
      <c r="A85" s="1">
        <v>44064</v>
      </c>
      <c r="B85" s="2">
        <f>YEAR(Sales_Dataset[[#This Row],[Order Date]])</f>
        <v>2020</v>
      </c>
      <c r="C85" s="2">
        <f>MONTH(Sales_Dataset[[#This Row],[Order Date]])</f>
        <v>8</v>
      </c>
      <c r="D85" t="s">
        <v>133</v>
      </c>
      <c r="E85" t="s">
        <v>36</v>
      </c>
      <c r="F85" t="s">
        <v>10</v>
      </c>
      <c r="G85" t="s">
        <v>16</v>
      </c>
      <c r="H85" s="5">
        <v>5167</v>
      </c>
      <c r="I85">
        <v>14</v>
      </c>
      <c r="J85" s="5">
        <v>253</v>
      </c>
    </row>
    <row r="86" spans="1:10" x14ac:dyDescent="0.35">
      <c r="A86" s="1">
        <v>44064</v>
      </c>
      <c r="B86" s="2">
        <f>YEAR(Sales_Dataset[[#This Row],[Order Date]])</f>
        <v>2020</v>
      </c>
      <c r="C86" s="2">
        <f>MONTH(Sales_Dataset[[#This Row],[Order Date]])</f>
        <v>8</v>
      </c>
      <c r="D86" t="s">
        <v>133</v>
      </c>
      <c r="E86" t="s">
        <v>36</v>
      </c>
      <c r="F86" t="s">
        <v>24</v>
      </c>
      <c r="G86" t="s">
        <v>31</v>
      </c>
      <c r="H86" s="5">
        <v>2799</v>
      </c>
      <c r="I86">
        <v>5</v>
      </c>
      <c r="J86" s="5">
        <v>1239</v>
      </c>
    </row>
    <row r="87" spans="1:10" x14ac:dyDescent="0.35">
      <c r="A87" s="1">
        <v>44067</v>
      </c>
      <c r="B87" s="2">
        <f>YEAR(Sales_Dataset[[#This Row],[Order Date]])</f>
        <v>2020</v>
      </c>
      <c r="C87" s="2">
        <f>MONTH(Sales_Dataset[[#This Row],[Order Date]])</f>
        <v>8</v>
      </c>
      <c r="D87" t="s">
        <v>611</v>
      </c>
      <c r="E87" t="s">
        <v>13</v>
      </c>
      <c r="F87" t="s">
        <v>18</v>
      </c>
      <c r="G87" t="s">
        <v>33</v>
      </c>
      <c r="H87" s="5">
        <v>8979</v>
      </c>
      <c r="I87">
        <v>4</v>
      </c>
      <c r="J87" s="5">
        <v>4477</v>
      </c>
    </row>
    <row r="88" spans="1:10" x14ac:dyDescent="0.35">
      <c r="A88" s="1">
        <v>44070</v>
      </c>
      <c r="B88" s="2">
        <f>YEAR(Sales_Dataset[[#This Row],[Order Date]])</f>
        <v>2020</v>
      </c>
      <c r="C88" s="2">
        <f>MONTH(Sales_Dataset[[#This Row],[Order Date]])</f>
        <v>8</v>
      </c>
      <c r="D88" t="s">
        <v>252</v>
      </c>
      <c r="E88" t="s">
        <v>9</v>
      </c>
      <c r="F88" t="s">
        <v>24</v>
      </c>
      <c r="G88" t="s">
        <v>51</v>
      </c>
      <c r="H88" s="5">
        <v>4027</v>
      </c>
      <c r="I88">
        <v>3</v>
      </c>
      <c r="J88" s="5">
        <v>1386</v>
      </c>
    </row>
    <row r="89" spans="1:10" x14ac:dyDescent="0.35">
      <c r="A89" s="1">
        <v>44071</v>
      </c>
      <c r="B89" s="2">
        <f>YEAR(Sales_Dataset[[#This Row],[Order Date]])</f>
        <v>2020</v>
      </c>
      <c r="C89" s="2">
        <f>MONTH(Sales_Dataset[[#This Row],[Order Date]])</f>
        <v>8</v>
      </c>
      <c r="D89" t="s">
        <v>194</v>
      </c>
      <c r="E89" t="s">
        <v>15</v>
      </c>
      <c r="F89" t="s">
        <v>24</v>
      </c>
      <c r="G89" t="s">
        <v>51</v>
      </c>
      <c r="H89" s="5">
        <v>1033</v>
      </c>
      <c r="I89">
        <v>5</v>
      </c>
      <c r="J89" s="5">
        <v>254</v>
      </c>
    </row>
    <row r="90" spans="1:10" x14ac:dyDescent="0.35">
      <c r="A90" s="1">
        <v>44075</v>
      </c>
      <c r="B90" s="2">
        <f>YEAR(Sales_Dataset[[#This Row],[Order Date]])</f>
        <v>2020</v>
      </c>
      <c r="C90" s="2">
        <f>MONTH(Sales_Dataset[[#This Row],[Order Date]])</f>
        <v>9</v>
      </c>
      <c r="D90" t="s">
        <v>578</v>
      </c>
      <c r="E90" t="s">
        <v>15</v>
      </c>
      <c r="F90" t="s">
        <v>18</v>
      </c>
      <c r="G90" t="s">
        <v>19</v>
      </c>
      <c r="H90" s="5">
        <v>8681</v>
      </c>
      <c r="I90">
        <v>9</v>
      </c>
      <c r="J90" s="5">
        <v>2458</v>
      </c>
    </row>
    <row r="91" spans="1:10" x14ac:dyDescent="0.35">
      <c r="A91" s="1">
        <v>44078</v>
      </c>
      <c r="B91" s="2">
        <f>YEAR(Sales_Dataset[[#This Row],[Order Date]])</f>
        <v>2020</v>
      </c>
      <c r="C91" s="2">
        <f>MONTH(Sales_Dataset[[#This Row],[Order Date]])</f>
        <v>9</v>
      </c>
      <c r="D91" t="s">
        <v>246</v>
      </c>
      <c r="E91" t="s">
        <v>13</v>
      </c>
      <c r="F91" t="s">
        <v>10</v>
      </c>
      <c r="G91" t="s">
        <v>16</v>
      </c>
      <c r="H91" s="5">
        <v>4569</v>
      </c>
      <c r="I91">
        <v>10</v>
      </c>
      <c r="J91" s="5">
        <v>1693</v>
      </c>
    </row>
    <row r="92" spans="1:10" x14ac:dyDescent="0.35">
      <c r="A92" s="1">
        <v>44082</v>
      </c>
      <c r="B92" s="2">
        <f>YEAR(Sales_Dataset[[#This Row],[Order Date]])</f>
        <v>2020</v>
      </c>
      <c r="C92" s="2">
        <f>MONTH(Sales_Dataset[[#This Row],[Order Date]])</f>
        <v>9</v>
      </c>
      <c r="D92" t="s">
        <v>522</v>
      </c>
      <c r="E92" t="s">
        <v>13</v>
      </c>
      <c r="F92" t="s">
        <v>18</v>
      </c>
      <c r="G92" t="s">
        <v>33</v>
      </c>
      <c r="H92" s="5">
        <v>4116</v>
      </c>
      <c r="I92">
        <v>20</v>
      </c>
      <c r="J92" s="5">
        <v>921</v>
      </c>
    </row>
    <row r="93" spans="1:10" x14ac:dyDescent="0.35">
      <c r="A93" s="1">
        <v>44082</v>
      </c>
      <c r="B93" s="2">
        <f>YEAR(Sales_Dataset[[#This Row],[Order Date]])</f>
        <v>2020</v>
      </c>
      <c r="C93" s="2">
        <f>MONTH(Sales_Dataset[[#This Row],[Order Date]])</f>
        <v>9</v>
      </c>
      <c r="D93" t="s">
        <v>547</v>
      </c>
      <c r="E93" t="s">
        <v>15</v>
      </c>
      <c r="F93" t="s">
        <v>24</v>
      </c>
      <c r="G93" t="s">
        <v>27</v>
      </c>
      <c r="H93" s="5">
        <v>4015</v>
      </c>
      <c r="I93">
        <v>15</v>
      </c>
      <c r="J93" s="5">
        <v>1751</v>
      </c>
    </row>
    <row r="94" spans="1:10" x14ac:dyDescent="0.35">
      <c r="A94" s="1">
        <v>44083</v>
      </c>
      <c r="B94" s="2">
        <f>YEAR(Sales_Dataset[[#This Row],[Order Date]])</f>
        <v>2020</v>
      </c>
      <c r="C94" s="2">
        <f>MONTH(Sales_Dataset[[#This Row],[Order Date]])</f>
        <v>9</v>
      </c>
      <c r="D94" t="s">
        <v>661</v>
      </c>
      <c r="E94" t="s">
        <v>47</v>
      </c>
      <c r="F94" t="s">
        <v>10</v>
      </c>
      <c r="G94" t="s">
        <v>23</v>
      </c>
      <c r="H94" s="5">
        <v>3482</v>
      </c>
      <c r="I94">
        <v>15</v>
      </c>
      <c r="J94" s="5">
        <v>1554</v>
      </c>
    </row>
    <row r="95" spans="1:10" x14ac:dyDescent="0.35">
      <c r="A95" s="1">
        <v>44084</v>
      </c>
      <c r="B95" s="2">
        <f>YEAR(Sales_Dataset[[#This Row],[Order Date]])</f>
        <v>2020</v>
      </c>
      <c r="C95" s="2">
        <f>MONTH(Sales_Dataset[[#This Row],[Order Date]])</f>
        <v>9</v>
      </c>
      <c r="D95" t="s">
        <v>644</v>
      </c>
      <c r="E95" t="s">
        <v>22</v>
      </c>
      <c r="F95" t="s">
        <v>24</v>
      </c>
      <c r="G95" t="s">
        <v>51</v>
      </c>
      <c r="H95" s="5">
        <v>3518</v>
      </c>
      <c r="I95">
        <v>3</v>
      </c>
      <c r="J95" s="5">
        <v>1051</v>
      </c>
    </row>
    <row r="96" spans="1:10" x14ac:dyDescent="0.35">
      <c r="A96" s="1">
        <v>44084</v>
      </c>
      <c r="B96" s="2">
        <f>YEAR(Sales_Dataset[[#This Row],[Order Date]])</f>
        <v>2020</v>
      </c>
      <c r="C96" s="2">
        <f>MONTH(Sales_Dataset[[#This Row],[Order Date]])</f>
        <v>9</v>
      </c>
      <c r="D96" t="s">
        <v>644</v>
      </c>
      <c r="E96" t="s">
        <v>22</v>
      </c>
      <c r="F96" t="s">
        <v>10</v>
      </c>
      <c r="G96" t="s">
        <v>23</v>
      </c>
      <c r="H96" s="5">
        <v>4157</v>
      </c>
      <c r="I96">
        <v>8</v>
      </c>
      <c r="J96" s="5">
        <v>1874</v>
      </c>
    </row>
    <row r="97" spans="1:10" x14ac:dyDescent="0.35">
      <c r="A97" s="1">
        <v>44086</v>
      </c>
      <c r="B97" s="2">
        <f>YEAR(Sales_Dataset[[#This Row],[Order Date]])</f>
        <v>2020</v>
      </c>
      <c r="C97" s="2">
        <f>MONTH(Sales_Dataset[[#This Row],[Order Date]])</f>
        <v>9</v>
      </c>
      <c r="D97" t="s">
        <v>337</v>
      </c>
      <c r="E97" t="s">
        <v>15</v>
      </c>
      <c r="F97" t="s">
        <v>24</v>
      </c>
      <c r="G97" t="s">
        <v>27</v>
      </c>
      <c r="H97" s="5">
        <v>9827</v>
      </c>
      <c r="I97">
        <v>13</v>
      </c>
      <c r="J97" s="5">
        <v>4208</v>
      </c>
    </row>
    <row r="98" spans="1:10" x14ac:dyDescent="0.35">
      <c r="A98" s="1">
        <v>44086</v>
      </c>
      <c r="B98" s="2">
        <f>YEAR(Sales_Dataset[[#This Row],[Order Date]])</f>
        <v>2020</v>
      </c>
      <c r="C98" s="2">
        <f>MONTH(Sales_Dataset[[#This Row],[Order Date]])</f>
        <v>9</v>
      </c>
      <c r="D98" t="s">
        <v>337</v>
      </c>
      <c r="E98" t="s">
        <v>15</v>
      </c>
      <c r="F98" t="s">
        <v>24</v>
      </c>
      <c r="G98" t="s">
        <v>31</v>
      </c>
      <c r="H98" s="5">
        <v>8077</v>
      </c>
      <c r="I98">
        <v>15</v>
      </c>
      <c r="J98" s="5">
        <v>240</v>
      </c>
    </row>
    <row r="99" spans="1:10" x14ac:dyDescent="0.35">
      <c r="A99" s="1">
        <v>44089</v>
      </c>
      <c r="B99" s="2">
        <f>YEAR(Sales_Dataset[[#This Row],[Order Date]])</f>
        <v>2020</v>
      </c>
      <c r="C99" s="2">
        <f>MONTH(Sales_Dataset[[#This Row],[Order Date]])</f>
        <v>9</v>
      </c>
      <c r="D99" t="s">
        <v>215</v>
      </c>
      <c r="E99" t="s">
        <v>22</v>
      </c>
      <c r="F99" t="s">
        <v>18</v>
      </c>
      <c r="G99" t="s">
        <v>19</v>
      </c>
      <c r="H99" s="5">
        <v>1574</v>
      </c>
      <c r="I99">
        <v>17</v>
      </c>
      <c r="J99" s="5">
        <v>258</v>
      </c>
    </row>
    <row r="100" spans="1:10" x14ac:dyDescent="0.35">
      <c r="A100" s="1">
        <v>44089</v>
      </c>
      <c r="B100" s="2">
        <f>YEAR(Sales_Dataset[[#This Row],[Order Date]])</f>
        <v>2020</v>
      </c>
      <c r="C100" s="2">
        <f>MONTH(Sales_Dataset[[#This Row],[Order Date]])</f>
        <v>9</v>
      </c>
      <c r="D100" t="s">
        <v>215</v>
      </c>
      <c r="E100" t="s">
        <v>22</v>
      </c>
      <c r="F100" t="s">
        <v>18</v>
      </c>
      <c r="G100" t="s">
        <v>39</v>
      </c>
      <c r="H100" s="5">
        <v>5635</v>
      </c>
      <c r="I100">
        <v>17</v>
      </c>
      <c r="J100" s="5">
        <v>318</v>
      </c>
    </row>
    <row r="101" spans="1:10" x14ac:dyDescent="0.35">
      <c r="A101" s="1">
        <v>44089</v>
      </c>
      <c r="B101" s="2">
        <f>YEAR(Sales_Dataset[[#This Row],[Order Date]])</f>
        <v>2020</v>
      </c>
      <c r="C101" s="2">
        <f>MONTH(Sales_Dataset[[#This Row],[Order Date]])</f>
        <v>9</v>
      </c>
      <c r="D101" t="s">
        <v>215</v>
      </c>
      <c r="E101" t="s">
        <v>22</v>
      </c>
      <c r="F101" t="s">
        <v>24</v>
      </c>
      <c r="G101" t="s">
        <v>31</v>
      </c>
      <c r="H101" s="5">
        <v>6515</v>
      </c>
      <c r="I101">
        <v>11</v>
      </c>
      <c r="J101" s="5">
        <v>961</v>
      </c>
    </row>
    <row r="102" spans="1:10" x14ac:dyDescent="0.35">
      <c r="A102" s="1">
        <v>44095</v>
      </c>
      <c r="B102" s="2">
        <f>YEAR(Sales_Dataset[[#This Row],[Order Date]])</f>
        <v>2020</v>
      </c>
      <c r="C102" s="2">
        <f>MONTH(Sales_Dataset[[#This Row],[Order Date]])</f>
        <v>9</v>
      </c>
      <c r="D102" t="s">
        <v>599</v>
      </c>
      <c r="E102" t="s">
        <v>47</v>
      </c>
      <c r="F102" t="s">
        <v>10</v>
      </c>
      <c r="G102" t="s">
        <v>41</v>
      </c>
      <c r="H102" s="5">
        <v>8158</v>
      </c>
      <c r="I102">
        <v>13</v>
      </c>
      <c r="J102" s="5">
        <v>2052</v>
      </c>
    </row>
    <row r="103" spans="1:10" x14ac:dyDescent="0.35">
      <c r="A103" s="1">
        <v>44095</v>
      </c>
      <c r="B103" s="2">
        <f>YEAR(Sales_Dataset[[#This Row],[Order Date]])</f>
        <v>2020</v>
      </c>
      <c r="C103" s="2">
        <f>MONTH(Sales_Dataset[[#This Row],[Order Date]])</f>
        <v>9</v>
      </c>
      <c r="D103" t="s">
        <v>759</v>
      </c>
      <c r="E103" t="s">
        <v>22</v>
      </c>
      <c r="F103" t="s">
        <v>24</v>
      </c>
      <c r="G103" t="s">
        <v>31</v>
      </c>
      <c r="H103" s="5">
        <v>3445</v>
      </c>
      <c r="I103">
        <v>16</v>
      </c>
      <c r="J103" s="5">
        <v>1405</v>
      </c>
    </row>
    <row r="104" spans="1:10" x14ac:dyDescent="0.35">
      <c r="A104" s="1">
        <v>44095</v>
      </c>
      <c r="B104" s="2">
        <f>YEAR(Sales_Dataset[[#This Row],[Order Date]])</f>
        <v>2020</v>
      </c>
      <c r="C104" s="2">
        <f>MONTH(Sales_Dataset[[#This Row],[Order Date]])</f>
        <v>9</v>
      </c>
      <c r="D104" t="s">
        <v>759</v>
      </c>
      <c r="E104" t="s">
        <v>22</v>
      </c>
      <c r="F104" t="s">
        <v>10</v>
      </c>
      <c r="G104" t="s">
        <v>23</v>
      </c>
      <c r="H104" s="5">
        <v>9837</v>
      </c>
      <c r="I104">
        <v>1</v>
      </c>
      <c r="J104" s="5">
        <v>384</v>
      </c>
    </row>
    <row r="105" spans="1:10" x14ac:dyDescent="0.35">
      <c r="A105" s="1">
        <v>44100</v>
      </c>
      <c r="B105" s="2">
        <f>YEAR(Sales_Dataset[[#This Row],[Order Date]])</f>
        <v>2020</v>
      </c>
      <c r="C105" s="2">
        <f>MONTH(Sales_Dataset[[#This Row],[Order Date]])</f>
        <v>9</v>
      </c>
      <c r="D105" t="s">
        <v>195</v>
      </c>
      <c r="E105" t="s">
        <v>22</v>
      </c>
      <c r="F105" t="s">
        <v>10</v>
      </c>
      <c r="G105" t="s">
        <v>16</v>
      </c>
      <c r="H105" s="5">
        <v>1518</v>
      </c>
      <c r="I105">
        <v>19</v>
      </c>
      <c r="J105" s="5">
        <v>159</v>
      </c>
    </row>
    <row r="106" spans="1:10" x14ac:dyDescent="0.35">
      <c r="A106" s="1">
        <v>44100</v>
      </c>
      <c r="B106" s="2">
        <f>YEAR(Sales_Dataset[[#This Row],[Order Date]])</f>
        <v>2020</v>
      </c>
      <c r="C106" s="2">
        <f>MONTH(Sales_Dataset[[#This Row],[Order Date]])</f>
        <v>9</v>
      </c>
      <c r="D106" t="s">
        <v>513</v>
      </c>
      <c r="E106" t="s">
        <v>9</v>
      </c>
      <c r="F106" t="s">
        <v>24</v>
      </c>
      <c r="G106" t="s">
        <v>25</v>
      </c>
      <c r="H106" s="5">
        <v>8851</v>
      </c>
      <c r="I106">
        <v>7</v>
      </c>
      <c r="J106" s="5">
        <v>3962</v>
      </c>
    </row>
    <row r="107" spans="1:10" x14ac:dyDescent="0.35">
      <c r="A107" s="1">
        <v>44104</v>
      </c>
      <c r="B107" s="2">
        <f>YEAR(Sales_Dataset[[#This Row],[Order Date]])</f>
        <v>2020</v>
      </c>
      <c r="C107" s="2">
        <f>MONTH(Sales_Dataset[[#This Row],[Order Date]])</f>
        <v>9</v>
      </c>
      <c r="D107" t="s">
        <v>262</v>
      </c>
      <c r="E107" t="s">
        <v>15</v>
      </c>
      <c r="F107" t="s">
        <v>10</v>
      </c>
      <c r="G107" t="s">
        <v>23</v>
      </c>
      <c r="H107" s="5">
        <v>8649</v>
      </c>
      <c r="I107">
        <v>13</v>
      </c>
      <c r="J107" s="5">
        <v>2631</v>
      </c>
    </row>
    <row r="108" spans="1:10" x14ac:dyDescent="0.35">
      <c r="A108" s="1">
        <v>44104</v>
      </c>
      <c r="B108" s="2">
        <f>YEAR(Sales_Dataset[[#This Row],[Order Date]])</f>
        <v>2020</v>
      </c>
      <c r="C108" s="2">
        <f>MONTH(Sales_Dataset[[#This Row],[Order Date]])</f>
        <v>9</v>
      </c>
      <c r="D108" t="s">
        <v>305</v>
      </c>
      <c r="E108" t="s">
        <v>22</v>
      </c>
      <c r="F108" t="s">
        <v>18</v>
      </c>
      <c r="G108" t="s">
        <v>33</v>
      </c>
      <c r="H108" s="5">
        <v>2140</v>
      </c>
      <c r="I108">
        <v>4</v>
      </c>
      <c r="J108" s="5">
        <v>970</v>
      </c>
    </row>
    <row r="109" spans="1:10" x14ac:dyDescent="0.35">
      <c r="A109" s="1">
        <v>44104</v>
      </c>
      <c r="B109" s="2">
        <f>YEAR(Sales_Dataset[[#This Row],[Order Date]])</f>
        <v>2020</v>
      </c>
      <c r="C109" s="2">
        <f>MONTH(Sales_Dataset[[#This Row],[Order Date]])</f>
        <v>9</v>
      </c>
      <c r="D109" t="s">
        <v>305</v>
      </c>
      <c r="E109" t="s">
        <v>22</v>
      </c>
      <c r="F109" t="s">
        <v>10</v>
      </c>
      <c r="G109" t="s">
        <v>23</v>
      </c>
      <c r="H109" s="5">
        <v>2670</v>
      </c>
      <c r="I109">
        <v>1</v>
      </c>
      <c r="J109" s="5">
        <v>1026</v>
      </c>
    </row>
    <row r="110" spans="1:10" x14ac:dyDescent="0.35">
      <c r="A110" s="1">
        <v>44105</v>
      </c>
      <c r="B110" s="2">
        <f>YEAR(Sales_Dataset[[#This Row],[Order Date]])</f>
        <v>2020</v>
      </c>
      <c r="C110" s="2">
        <f>MONTH(Sales_Dataset[[#This Row],[Order Date]])</f>
        <v>10</v>
      </c>
      <c r="D110" t="s">
        <v>542</v>
      </c>
      <c r="E110" t="s">
        <v>13</v>
      </c>
      <c r="F110" t="s">
        <v>10</v>
      </c>
      <c r="G110" t="s">
        <v>41</v>
      </c>
      <c r="H110" s="5">
        <v>1078</v>
      </c>
      <c r="I110">
        <v>3</v>
      </c>
      <c r="J110" s="5">
        <v>309</v>
      </c>
    </row>
    <row r="111" spans="1:10" x14ac:dyDescent="0.35">
      <c r="A111" s="1">
        <v>44106</v>
      </c>
      <c r="B111" s="2">
        <f>YEAR(Sales_Dataset[[#This Row],[Order Date]])</f>
        <v>2020</v>
      </c>
      <c r="C111" s="2">
        <f>MONTH(Sales_Dataset[[#This Row],[Order Date]])</f>
        <v>10</v>
      </c>
      <c r="D111" t="s">
        <v>254</v>
      </c>
      <c r="E111" t="s">
        <v>13</v>
      </c>
      <c r="F111" t="s">
        <v>24</v>
      </c>
      <c r="G111" t="s">
        <v>31</v>
      </c>
      <c r="H111" s="5">
        <v>7684</v>
      </c>
      <c r="I111">
        <v>12</v>
      </c>
      <c r="J111" s="5">
        <v>1157</v>
      </c>
    </row>
    <row r="112" spans="1:10" x14ac:dyDescent="0.35">
      <c r="A112" s="1">
        <v>44106</v>
      </c>
      <c r="B112" s="2">
        <f>YEAR(Sales_Dataset[[#This Row],[Order Date]])</f>
        <v>2020</v>
      </c>
      <c r="C112" s="2">
        <f>MONTH(Sales_Dataset[[#This Row],[Order Date]])</f>
        <v>10</v>
      </c>
      <c r="D112" t="s">
        <v>453</v>
      </c>
      <c r="E112" t="s">
        <v>15</v>
      </c>
      <c r="F112" t="s">
        <v>24</v>
      </c>
      <c r="G112" t="s">
        <v>51</v>
      </c>
      <c r="H112" s="5">
        <v>2137</v>
      </c>
      <c r="I112">
        <v>12</v>
      </c>
      <c r="J112" s="5">
        <v>638</v>
      </c>
    </row>
    <row r="113" spans="1:10" x14ac:dyDescent="0.35">
      <c r="A113" s="1">
        <v>44106</v>
      </c>
      <c r="B113" s="2">
        <f>YEAR(Sales_Dataset[[#This Row],[Order Date]])</f>
        <v>2020</v>
      </c>
      <c r="C113" s="2">
        <f>MONTH(Sales_Dataset[[#This Row],[Order Date]])</f>
        <v>10</v>
      </c>
      <c r="D113" t="s">
        <v>453</v>
      </c>
      <c r="E113" t="s">
        <v>15</v>
      </c>
      <c r="F113" t="s">
        <v>24</v>
      </c>
      <c r="G113" t="s">
        <v>27</v>
      </c>
      <c r="H113" s="5">
        <v>2831</v>
      </c>
      <c r="I113">
        <v>12</v>
      </c>
      <c r="J113" s="5">
        <v>1289</v>
      </c>
    </row>
    <row r="114" spans="1:10" x14ac:dyDescent="0.35">
      <c r="A114" s="1">
        <v>44112</v>
      </c>
      <c r="B114" s="2">
        <f>YEAR(Sales_Dataset[[#This Row],[Order Date]])</f>
        <v>2020</v>
      </c>
      <c r="C114" s="2">
        <f>MONTH(Sales_Dataset[[#This Row],[Order Date]])</f>
        <v>10</v>
      </c>
      <c r="D114" t="s">
        <v>302</v>
      </c>
      <c r="E114" t="s">
        <v>15</v>
      </c>
      <c r="F114" t="s">
        <v>18</v>
      </c>
      <c r="G114" t="s">
        <v>19</v>
      </c>
      <c r="H114" s="5">
        <v>1379</v>
      </c>
      <c r="I114">
        <v>3</v>
      </c>
      <c r="J114" s="5">
        <v>250</v>
      </c>
    </row>
    <row r="115" spans="1:10" x14ac:dyDescent="0.35">
      <c r="A115" s="1">
        <v>44112</v>
      </c>
      <c r="B115" s="2">
        <f>YEAR(Sales_Dataset[[#This Row],[Order Date]])</f>
        <v>2020</v>
      </c>
      <c r="C115" s="2">
        <f>MONTH(Sales_Dataset[[#This Row],[Order Date]])</f>
        <v>10</v>
      </c>
      <c r="D115" t="s">
        <v>302</v>
      </c>
      <c r="E115" t="s">
        <v>15</v>
      </c>
      <c r="F115" t="s">
        <v>10</v>
      </c>
      <c r="G115" t="s">
        <v>23</v>
      </c>
      <c r="H115" s="5">
        <v>4244</v>
      </c>
      <c r="I115">
        <v>10</v>
      </c>
      <c r="J115" s="5">
        <v>340</v>
      </c>
    </row>
    <row r="116" spans="1:10" x14ac:dyDescent="0.35">
      <c r="A116" s="1">
        <v>44115</v>
      </c>
      <c r="B116" s="2">
        <f>YEAR(Sales_Dataset[[#This Row],[Order Date]])</f>
        <v>2020</v>
      </c>
      <c r="C116" s="2">
        <f>MONTH(Sales_Dataset[[#This Row],[Order Date]])</f>
        <v>10</v>
      </c>
      <c r="D116" t="s">
        <v>712</v>
      </c>
      <c r="E116" t="s">
        <v>47</v>
      </c>
      <c r="F116" t="s">
        <v>10</v>
      </c>
      <c r="G116" t="s">
        <v>23</v>
      </c>
      <c r="H116" s="5">
        <v>3316</v>
      </c>
      <c r="I116">
        <v>6</v>
      </c>
      <c r="J116" s="5">
        <v>126</v>
      </c>
    </row>
    <row r="117" spans="1:10" x14ac:dyDescent="0.35">
      <c r="A117" s="1">
        <v>44119</v>
      </c>
      <c r="B117" s="2">
        <f>YEAR(Sales_Dataset[[#This Row],[Order Date]])</f>
        <v>2020</v>
      </c>
      <c r="C117" s="2">
        <f>MONTH(Sales_Dataset[[#This Row],[Order Date]])</f>
        <v>10</v>
      </c>
      <c r="D117" t="s">
        <v>749</v>
      </c>
      <c r="E117" t="s">
        <v>13</v>
      </c>
      <c r="F117" t="s">
        <v>24</v>
      </c>
      <c r="G117" t="s">
        <v>51</v>
      </c>
      <c r="H117" s="5">
        <v>611</v>
      </c>
      <c r="I117">
        <v>3</v>
      </c>
      <c r="J117" s="5">
        <v>300</v>
      </c>
    </row>
    <row r="118" spans="1:10" x14ac:dyDescent="0.35">
      <c r="A118" s="1">
        <v>44121</v>
      </c>
      <c r="B118" s="2">
        <f>YEAR(Sales_Dataset[[#This Row],[Order Date]])</f>
        <v>2020</v>
      </c>
      <c r="C118" s="2">
        <f>MONTH(Sales_Dataset[[#This Row],[Order Date]])</f>
        <v>10</v>
      </c>
      <c r="D118" t="s">
        <v>55</v>
      </c>
      <c r="E118" t="s">
        <v>15</v>
      </c>
      <c r="F118" t="s">
        <v>18</v>
      </c>
      <c r="G118" t="s">
        <v>39</v>
      </c>
      <c r="H118" s="5">
        <v>8293</v>
      </c>
      <c r="I118">
        <v>8</v>
      </c>
      <c r="J118" s="5">
        <v>2632</v>
      </c>
    </row>
    <row r="119" spans="1:10" x14ac:dyDescent="0.35">
      <c r="A119" s="1">
        <v>44121</v>
      </c>
      <c r="B119" s="2">
        <f>YEAR(Sales_Dataset[[#This Row],[Order Date]])</f>
        <v>2020</v>
      </c>
      <c r="C119" s="2">
        <f>MONTH(Sales_Dataset[[#This Row],[Order Date]])</f>
        <v>10</v>
      </c>
      <c r="D119" t="s">
        <v>55</v>
      </c>
      <c r="E119" t="s">
        <v>15</v>
      </c>
      <c r="F119" t="s">
        <v>10</v>
      </c>
      <c r="G119" t="s">
        <v>41</v>
      </c>
      <c r="H119" s="5">
        <v>2863</v>
      </c>
      <c r="I119">
        <v>17</v>
      </c>
      <c r="J119" s="5">
        <v>205</v>
      </c>
    </row>
    <row r="120" spans="1:10" x14ac:dyDescent="0.35">
      <c r="A120" s="1">
        <v>44124</v>
      </c>
      <c r="B120" s="2">
        <f>YEAR(Sales_Dataset[[#This Row],[Order Date]])</f>
        <v>2020</v>
      </c>
      <c r="C120" s="2">
        <f>MONTH(Sales_Dataset[[#This Row],[Order Date]])</f>
        <v>10</v>
      </c>
      <c r="D120" t="s">
        <v>127</v>
      </c>
      <c r="E120" t="s">
        <v>15</v>
      </c>
      <c r="F120" t="s">
        <v>18</v>
      </c>
      <c r="G120" t="s">
        <v>33</v>
      </c>
      <c r="H120" s="5">
        <v>9883</v>
      </c>
      <c r="I120">
        <v>16</v>
      </c>
      <c r="J120" s="5">
        <v>4812</v>
      </c>
    </row>
    <row r="121" spans="1:10" x14ac:dyDescent="0.35">
      <c r="A121" s="1">
        <v>44124</v>
      </c>
      <c r="B121" s="2">
        <f>YEAR(Sales_Dataset[[#This Row],[Order Date]])</f>
        <v>2020</v>
      </c>
      <c r="C121" s="2">
        <f>MONTH(Sales_Dataset[[#This Row],[Order Date]])</f>
        <v>10</v>
      </c>
      <c r="D121" t="s">
        <v>127</v>
      </c>
      <c r="E121" t="s">
        <v>15</v>
      </c>
      <c r="F121" t="s">
        <v>18</v>
      </c>
      <c r="G121" t="s">
        <v>33</v>
      </c>
      <c r="H121" s="5">
        <v>5210</v>
      </c>
      <c r="I121">
        <v>7</v>
      </c>
      <c r="J121" s="5">
        <v>1185</v>
      </c>
    </row>
    <row r="122" spans="1:10" x14ac:dyDescent="0.35">
      <c r="A122" s="1">
        <v>44124</v>
      </c>
      <c r="B122" s="2">
        <f>YEAR(Sales_Dataset[[#This Row],[Order Date]])</f>
        <v>2020</v>
      </c>
      <c r="C122" s="2">
        <f>MONTH(Sales_Dataset[[#This Row],[Order Date]])</f>
        <v>10</v>
      </c>
      <c r="D122" t="s">
        <v>200</v>
      </c>
      <c r="E122" t="s">
        <v>15</v>
      </c>
      <c r="F122" t="s">
        <v>18</v>
      </c>
      <c r="G122" t="s">
        <v>19</v>
      </c>
      <c r="H122" s="5">
        <v>8204</v>
      </c>
      <c r="I122">
        <v>6</v>
      </c>
      <c r="J122" s="5">
        <v>2382</v>
      </c>
    </row>
    <row r="123" spans="1:10" x14ac:dyDescent="0.35">
      <c r="A123" s="1">
        <v>44124</v>
      </c>
      <c r="B123" s="2">
        <f>YEAR(Sales_Dataset[[#This Row],[Order Date]])</f>
        <v>2020</v>
      </c>
      <c r="C123" s="2">
        <f>MONTH(Sales_Dataset[[#This Row],[Order Date]])</f>
        <v>10</v>
      </c>
      <c r="D123" t="s">
        <v>200</v>
      </c>
      <c r="E123" t="s">
        <v>15</v>
      </c>
      <c r="F123" t="s">
        <v>10</v>
      </c>
      <c r="G123" t="s">
        <v>41</v>
      </c>
      <c r="H123" s="5">
        <v>2850</v>
      </c>
      <c r="I123">
        <v>6</v>
      </c>
      <c r="J123" s="5">
        <v>904</v>
      </c>
    </row>
    <row r="124" spans="1:10" x14ac:dyDescent="0.35">
      <c r="A124" s="1">
        <v>44125</v>
      </c>
      <c r="B124" s="2">
        <f>YEAR(Sales_Dataset[[#This Row],[Order Date]])</f>
        <v>2020</v>
      </c>
      <c r="C124" s="2">
        <f>MONTH(Sales_Dataset[[#This Row],[Order Date]])</f>
        <v>10</v>
      </c>
      <c r="D124" t="s">
        <v>350</v>
      </c>
      <c r="E124" t="s">
        <v>22</v>
      </c>
      <c r="F124" t="s">
        <v>18</v>
      </c>
      <c r="G124" t="s">
        <v>19</v>
      </c>
      <c r="H124" s="5">
        <v>916</v>
      </c>
      <c r="I124">
        <v>7</v>
      </c>
      <c r="J124" s="5">
        <v>362</v>
      </c>
    </row>
    <row r="125" spans="1:10" x14ac:dyDescent="0.35">
      <c r="A125" s="1">
        <v>44125</v>
      </c>
      <c r="B125" s="2">
        <f>YEAR(Sales_Dataset[[#This Row],[Order Date]])</f>
        <v>2020</v>
      </c>
      <c r="C125" s="2">
        <f>MONTH(Sales_Dataset[[#This Row],[Order Date]])</f>
        <v>10</v>
      </c>
      <c r="D125" t="s">
        <v>350</v>
      </c>
      <c r="E125" t="s">
        <v>22</v>
      </c>
      <c r="F125" t="s">
        <v>24</v>
      </c>
      <c r="G125" t="s">
        <v>31</v>
      </c>
      <c r="H125" s="5">
        <v>1165</v>
      </c>
      <c r="I125">
        <v>20</v>
      </c>
      <c r="J125" s="5">
        <v>302</v>
      </c>
    </row>
    <row r="126" spans="1:10" x14ac:dyDescent="0.35">
      <c r="A126" s="1">
        <v>44125</v>
      </c>
      <c r="B126" s="2">
        <f>YEAR(Sales_Dataset[[#This Row],[Order Date]])</f>
        <v>2020</v>
      </c>
      <c r="C126" s="2">
        <f>MONTH(Sales_Dataset[[#This Row],[Order Date]])</f>
        <v>10</v>
      </c>
      <c r="D126" t="s">
        <v>350</v>
      </c>
      <c r="E126" t="s">
        <v>22</v>
      </c>
      <c r="F126" t="s">
        <v>24</v>
      </c>
      <c r="G126" t="s">
        <v>27</v>
      </c>
      <c r="H126" s="5">
        <v>7846</v>
      </c>
      <c r="I126">
        <v>12</v>
      </c>
      <c r="J126" s="5">
        <v>677</v>
      </c>
    </row>
    <row r="127" spans="1:10" x14ac:dyDescent="0.35">
      <c r="A127" s="1">
        <v>44125</v>
      </c>
      <c r="B127" s="2">
        <f>YEAR(Sales_Dataset[[#This Row],[Order Date]])</f>
        <v>2020</v>
      </c>
      <c r="C127" s="2">
        <f>MONTH(Sales_Dataset[[#This Row],[Order Date]])</f>
        <v>10</v>
      </c>
      <c r="D127" t="s">
        <v>444</v>
      </c>
      <c r="E127" t="s">
        <v>47</v>
      </c>
      <c r="F127" t="s">
        <v>24</v>
      </c>
      <c r="G127" t="s">
        <v>51</v>
      </c>
      <c r="H127" s="5">
        <v>4007</v>
      </c>
      <c r="I127">
        <v>13</v>
      </c>
      <c r="J127" s="5">
        <v>201</v>
      </c>
    </row>
    <row r="128" spans="1:10" x14ac:dyDescent="0.35">
      <c r="A128" s="1">
        <v>44125</v>
      </c>
      <c r="B128" s="2">
        <f>YEAR(Sales_Dataset[[#This Row],[Order Date]])</f>
        <v>2020</v>
      </c>
      <c r="C128" s="2">
        <f>MONTH(Sales_Dataset[[#This Row],[Order Date]])</f>
        <v>10</v>
      </c>
      <c r="D128" t="s">
        <v>446</v>
      </c>
      <c r="E128" t="s">
        <v>9</v>
      </c>
      <c r="F128" t="s">
        <v>24</v>
      </c>
      <c r="G128" t="s">
        <v>51</v>
      </c>
      <c r="H128" s="5">
        <v>810</v>
      </c>
      <c r="I128">
        <v>18</v>
      </c>
      <c r="J128" s="5">
        <v>231</v>
      </c>
    </row>
    <row r="129" spans="1:10" x14ac:dyDescent="0.35">
      <c r="A129" s="1">
        <v>44127</v>
      </c>
      <c r="B129" s="2">
        <f>YEAR(Sales_Dataset[[#This Row],[Order Date]])</f>
        <v>2020</v>
      </c>
      <c r="C129" s="2">
        <f>MONTH(Sales_Dataset[[#This Row],[Order Date]])</f>
        <v>10</v>
      </c>
      <c r="D129" t="s">
        <v>329</v>
      </c>
      <c r="E129" t="s">
        <v>22</v>
      </c>
      <c r="F129" t="s">
        <v>24</v>
      </c>
      <c r="G129" t="s">
        <v>27</v>
      </c>
      <c r="H129" s="5">
        <v>6145</v>
      </c>
      <c r="I129">
        <v>4</v>
      </c>
      <c r="J129" s="5">
        <v>1414</v>
      </c>
    </row>
    <row r="130" spans="1:10" x14ac:dyDescent="0.35">
      <c r="A130" s="1">
        <v>44127</v>
      </c>
      <c r="B130" s="2">
        <f>YEAR(Sales_Dataset[[#This Row],[Order Date]])</f>
        <v>2020</v>
      </c>
      <c r="C130" s="2">
        <f>MONTH(Sales_Dataset[[#This Row],[Order Date]])</f>
        <v>10</v>
      </c>
      <c r="D130" t="s">
        <v>329</v>
      </c>
      <c r="E130" t="s">
        <v>22</v>
      </c>
      <c r="F130" t="s">
        <v>10</v>
      </c>
      <c r="G130" t="s">
        <v>16</v>
      </c>
      <c r="H130" s="5">
        <v>2504</v>
      </c>
      <c r="I130">
        <v>18</v>
      </c>
      <c r="J130" s="5">
        <v>440</v>
      </c>
    </row>
    <row r="131" spans="1:10" x14ac:dyDescent="0.35">
      <c r="A131" s="1">
        <v>44127</v>
      </c>
      <c r="B131" s="2">
        <f>YEAR(Sales_Dataset[[#This Row],[Order Date]])</f>
        <v>2020</v>
      </c>
      <c r="C131" s="2">
        <f>MONTH(Sales_Dataset[[#This Row],[Order Date]])</f>
        <v>10</v>
      </c>
      <c r="D131" t="s">
        <v>329</v>
      </c>
      <c r="E131" t="s">
        <v>22</v>
      </c>
      <c r="F131" t="s">
        <v>10</v>
      </c>
      <c r="G131" t="s">
        <v>41</v>
      </c>
      <c r="H131" s="5">
        <v>3124</v>
      </c>
      <c r="I131">
        <v>16</v>
      </c>
      <c r="J131" s="5">
        <v>138</v>
      </c>
    </row>
    <row r="132" spans="1:10" x14ac:dyDescent="0.35">
      <c r="A132" s="1">
        <v>44130</v>
      </c>
      <c r="B132" s="2">
        <f>YEAR(Sales_Dataset[[#This Row],[Order Date]])</f>
        <v>2020</v>
      </c>
      <c r="C132" s="2">
        <f>MONTH(Sales_Dataset[[#This Row],[Order Date]])</f>
        <v>10</v>
      </c>
      <c r="D132" t="s">
        <v>372</v>
      </c>
      <c r="E132" t="s">
        <v>36</v>
      </c>
      <c r="F132" t="s">
        <v>18</v>
      </c>
      <c r="G132" t="s">
        <v>30</v>
      </c>
      <c r="H132" s="5">
        <v>1089</v>
      </c>
      <c r="I132">
        <v>16</v>
      </c>
      <c r="J132" s="5">
        <v>176</v>
      </c>
    </row>
    <row r="133" spans="1:10" x14ac:dyDescent="0.35">
      <c r="A133" s="1">
        <v>44131</v>
      </c>
      <c r="B133" s="2">
        <f>YEAR(Sales_Dataset[[#This Row],[Order Date]])</f>
        <v>2020</v>
      </c>
      <c r="C133" s="2">
        <f>MONTH(Sales_Dataset[[#This Row],[Order Date]])</f>
        <v>10</v>
      </c>
      <c r="D133" t="s">
        <v>619</v>
      </c>
      <c r="E133" t="s">
        <v>22</v>
      </c>
      <c r="F133" t="s">
        <v>24</v>
      </c>
      <c r="G133" t="s">
        <v>25</v>
      </c>
      <c r="H133" s="5">
        <v>8572</v>
      </c>
      <c r="I133">
        <v>8</v>
      </c>
      <c r="J133" s="5">
        <v>2041</v>
      </c>
    </row>
    <row r="134" spans="1:10" x14ac:dyDescent="0.35">
      <c r="A134" s="1">
        <v>44131</v>
      </c>
      <c r="B134" s="2">
        <f>YEAR(Sales_Dataset[[#This Row],[Order Date]])</f>
        <v>2020</v>
      </c>
      <c r="C134" s="2">
        <f>MONTH(Sales_Dataset[[#This Row],[Order Date]])</f>
        <v>10</v>
      </c>
      <c r="D134" t="s">
        <v>619</v>
      </c>
      <c r="E134" t="s">
        <v>22</v>
      </c>
      <c r="F134" t="s">
        <v>10</v>
      </c>
      <c r="G134" t="s">
        <v>16</v>
      </c>
      <c r="H134" s="5">
        <v>8059</v>
      </c>
      <c r="I134">
        <v>10</v>
      </c>
      <c r="J134" s="5">
        <v>1834</v>
      </c>
    </row>
    <row r="135" spans="1:10" x14ac:dyDescent="0.35">
      <c r="A135" s="1">
        <v>44132</v>
      </c>
      <c r="B135" s="2">
        <f>YEAR(Sales_Dataset[[#This Row],[Order Date]])</f>
        <v>2020</v>
      </c>
      <c r="C135" s="2">
        <f>MONTH(Sales_Dataset[[#This Row],[Order Date]])</f>
        <v>10</v>
      </c>
      <c r="D135" t="s">
        <v>243</v>
      </c>
      <c r="E135" t="s">
        <v>13</v>
      </c>
      <c r="F135" t="s">
        <v>18</v>
      </c>
      <c r="G135" t="s">
        <v>19</v>
      </c>
      <c r="H135" s="5">
        <v>6016</v>
      </c>
      <c r="I135">
        <v>20</v>
      </c>
      <c r="J135" s="5">
        <v>431</v>
      </c>
    </row>
    <row r="136" spans="1:10" x14ac:dyDescent="0.35">
      <c r="A136" s="1">
        <v>44138</v>
      </c>
      <c r="B136" s="2">
        <f>YEAR(Sales_Dataset[[#This Row],[Order Date]])</f>
        <v>2020</v>
      </c>
      <c r="C136" s="2">
        <f>MONTH(Sales_Dataset[[#This Row],[Order Date]])</f>
        <v>11</v>
      </c>
      <c r="D136" t="s">
        <v>227</v>
      </c>
      <c r="E136" t="s">
        <v>13</v>
      </c>
      <c r="F136" t="s">
        <v>18</v>
      </c>
      <c r="G136" t="s">
        <v>33</v>
      </c>
      <c r="H136" s="5">
        <v>8769</v>
      </c>
      <c r="I136">
        <v>20</v>
      </c>
      <c r="J136" s="5">
        <v>1989</v>
      </c>
    </row>
    <row r="137" spans="1:10" x14ac:dyDescent="0.35">
      <c r="A137" s="1">
        <v>44141</v>
      </c>
      <c r="B137" s="2">
        <f>YEAR(Sales_Dataset[[#This Row],[Order Date]])</f>
        <v>2020</v>
      </c>
      <c r="C137" s="2">
        <f>MONTH(Sales_Dataset[[#This Row],[Order Date]])</f>
        <v>11</v>
      </c>
      <c r="D137" t="s">
        <v>470</v>
      </c>
      <c r="E137" t="s">
        <v>9</v>
      </c>
      <c r="F137" t="s">
        <v>24</v>
      </c>
      <c r="G137" t="s">
        <v>25</v>
      </c>
      <c r="H137" s="5">
        <v>717</v>
      </c>
      <c r="I137">
        <v>16</v>
      </c>
      <c r="J137" s="5">
        <v>158</v>
      </c>
    </row>
    <row r="138" spans="1:10" x14ac:dyDescent="0.35">
      <c r="A138" s="1">
        <v>44141</v>
      </c>
      <c r="B138" s="2">
        <f>YEAR(Sales_Dataset[[#This Row],[Order Date]])</f>
        <v>2020</v>
      </c>
      <c r="C138" s="2">
        <f>MONTH(Sales_Dataset[[#This Row],[Order Date]])</f>
        <v>11</v>
      </c>
      <c r="D138" t="s">
        <v>470</v>
      </c>
      <c r="E138" t="s">
        <v>9</v>
      </c>
      <c r="F138" t="s">
        <v>24</v>
      </c>
      <c r="G138" t="s">
        <v>31</v>
      </c>
      <c r="H138" s="5">
        <v>508</v>
      </c>
      <c r="I138">
        <v>17</v>
      </c>
      <c r="J138" s="5">
        <v>177</v>
      </c>
    </row>
    <row r="139" spans="1:10" x14ac:dyDescent="0.35">
      <c r="A139" s="1">
        <v>44144</v>
      </c>
      <c r="B139" s="2">
        <f>YEAR(Sales_Dataset[[#This Row],[Order Date]])</f>
        <v>2020</v>
      </c>
      <c r="C139" s="2">
        <f>MONTH(Sales_Dataset[[#This Row],[Order Date]])</f>
        <v>11</v>
      </c>
      <c r="D139" t="s">
        <v>413</v>
      </c>
      <c r="E139" t="s">
        <v>9</v>
      </c>
      <c r="F139" t="s">
        <v>10</v>
      </c>
      <c r="G139" t="s">
        <v>11</v>
      </c>
      <c r="H139" s="5">
        <v>2804</v>
      </c>
      <c r="I139">
        <v>10</v>
      </c>
      <c r="J139" s="5">
        <v>936</v>
      </c>
    </row>
    <row r="140" spans="1:10" x14ac:dyDescent="0.35">
      <c r="A140" s="1">
        <v>44145</v>
      </c>
      <c r="B140" s="2">
        <f>YEAR(Sales_Dataset[[#This Row],[Order Date]])</f>
        <v>2020</v>
      </c>
      <c r="C140" s="2">
        <f>MONTH(Sales_Dataset[[#This Row],[Order Date]])</f>
        <v>11</v>
      </c>
      <c r="D140" t="s">
        <v>536</v>
      </c>
      <c r="E140" t="s">
        <v>13</v>
      </c>
      <c r="F140" t="s">
        <v>24</v>
      </c>
      <c r="G140" t="s">
        <v>27</v>
      </c>
      <c r="H140" s="5">
        <v>5014</v>
      </c>
      <c r="I140">
        <v>2</v>
      </c>
      <c r="J140" s="5">
        <v>2332</v>
      </c>
    </row>
    <row r="141" spans="1:10" x14ac:dyDescent="0.35">
      <c r="A141" s="1">
        <v>44145</v>
      </c>
      <c r="B141" s="2">
        <f>YEAR(Sales_Dataset[[#This Row],[Order Date]])</f>
        <v>2020</v>
      </c>
      <c r="C141" s="2">
        <f>MONTH(Sales_Dataset[[#This Row],[Order Date]])</f>
        <v>11</v>
      </c>
      <c r="D141" t="s">
        <v>626</v>
      </c>
      <c r="E141" t="s">
        <v>13</v>
      </c>
      <c r="F141" t="s">
        <v>10</v>
      </c>
      <c r="G141" t="s">
        <v>11</v>
      </c>
      <c r="H141" s="5">
        <v>4307</v>
      </c>
      <c r="I141">
        <v>3</v>
      </c>
      <c r="J141" s="5">
        <v>615</v>
      </c>
    </row>
    <row r="142" spans="1:10" x14ac:dyDescent="0.35">
      <c r="A142" s="1">
        <v>44145</v>
      </c>
      <c r="B142" s="2">
        <f>YEAR(Sales_Dataset[[#This Row],[Order Date]])</f>
        <v>2020</v>
      </c>
      <c r="C142" s="2">
        <f>MONTH(Sales_Dataset[[#This Row],[Order Date]])</f>
        <v>11</v>
      </c>
      <c r="D142" t="s">
        <v>626</v>
      </c>
      <c r="E142" t="s">
        <v>13</v>
      </c>
      <c r="F142" t="s">
        <v>24</v>
      </c>
      <c r="G142" t="s">
        <v>27</v>
      </c>
      <c r="H142" s="5">
        <v>5694</v>
      </c>
      <c r="I142">
        <v>5</v>
      </c>
      <c r="J142" s="5">
        <v>1134</v>
      </c>
    </row>
    <row r="143" spans="1:10" x14ac:dyDescent="0.35">
      <c r="A143" s="1">
        <v>44151</v>
      </c>
      <c r="B143" s="2">
        <f>YEAR(Sales_Dataset[[#This Row],[Order Date]])</f>
        <v>2020</v>
      </c>
      <c r="C143" s="2">
        <f>MONTH(Sales_Dataset[[#This Row],[Order Date]])</f>
        <v>11</v>
      </c>
      <c r="D143" t="s">
        <v>64</v>
      </c>
      <c r="E143" t="s">
        <v>15</v>
      </c>
      <c r="F143" t="s">
        <v>24</v>
      </c>
      <c r="G143" t="s">
        <v>25</v>
      </c>
      <c r="H143" s="5">
        <v>1016</v>
      </c>
      <c r="I143">
        <v>20</v>
      </c>
      <c r="J143" s="5">
        <v>172</v>
      </c>
    </row>
    <row r="144" spans="1:10" x14ac:dyDescent="0.35">
      <c r="A144" s="1">
        <v>44151</v>
      </c>
      <c r="B144" s="2">
        <f>YEAR(Sales_Dataset[[#This Row],[Order Date]])</f>
        <v>2020</v>
      </c>
      <c r="C144" s="2">
        <f>MONTH(Sales_Dataset[[#This Row],[Order Date]])</f>
        <v>11</v>
      </c>
      <c r="D144" t="s">
        <v>64</v>
      </c>
      <c r="E144" t="s">
        <v>15</v>
      </c>
      <c r="F144" t="s">
        <v>24</v>
      </c>
      <c r="G144" t="s">
        <v>25</v>
      </c>
      <c r="H144" s="5">
        <v>5768</v>
      </c>
      <c r="I144">
        <v>14</v>
      </c>
      <c r="J144" s="5">
        <v>2059</v>
      </c>
    </row>
    <row r="145" spans="1:10" x14ac:dyDescent="0.35">
      <c r="A145" s="1">
        <v>44151</v>
      </c>
      <c r="B145" s="2">
        <f>YEAR(Sales_Dataset[[#This Row],[Order Date]])</f>
        <v>2020</v>
      </c>
      <c r="C145" s="2">
        <f>MONTH(Sales_Dataset[[#This Row],[Order Date]])</f>
        <v>11</v>
      </c>
      <c r="D145" t="s">
        <v>64</v>
      </c>
      <c r="E145" t="s">
        <v>15</v>
      </c>
      <c r="F145" t="s">
        <v>24</v>
      </c>
      <c r="G145" t="s">
        <v>25</v>
      </c>
      <c r="H145" s="5">
        <v>1217</v>
      </c>
      <c r="I145">
        <v>3</v>
      </c>
      <c r="J145" s="5">
        <v>151</v>
      </c>
    </row>
    <row r="146" spans="1:10" x14ac:dyDescent="0.35">
      <c r="A146" s="1">
        <v>44154</v>
      </c>
      <c r="B146" s="2">
        <f>YEAR(Sales_Dataset[[#This Row],[Order Date]])</f>
        <v>2020</v>
      </c>
      <c r="C146" s="2">
        <f>MONTH(Sales_Dataset[[#This Row],[Order Date]])</f>
        <v>11</v>
      </c>
      <c r="D146" t="s">
        <v>197</v>
      </c>
      <c r="E146" t="s">
        <v>9</v>
      </c>
      <c r="F146" t="s">
        <v>18</v>
      </c>
      <c r="G146" t="s">
        <v>33</v>
      </c>
      <c r="H146" s="5">
        <v>8581</v>
      </c>
      <c r="I146">
        <v>2</v>
      </c>
      <c r="J146" s="5">
        <v>2444</v>
      </c>
    </row>
    <row r="147" spans="1:10" x14ac:dyDescent="0.35">
      <c r="A147" s="1">
        <v>44156</v>
      </c>
      <c r="B147" s="2">
        <f>YEAR(Sales_Dataset[[#This Row],[Order Date]])</f>
        <v>2020</v>
      </c>
      <c r="C147" s="2">
        <f>MONTH(Sales_Dataset[[#This Row],[Order Date]])</f>
        <v>11</v>
      </c>
      <c r="D147" t="s">
        <v>310</v>
      </c>
      <c r="E147" t="s">
        <v>13</v>
      </c>
      <c r="F147" t="s">
        <v>18</v>
      </c>
      <c r="G147" t="s">
        <v>33</v>
      </c>
      <c r="H147" s="5">
        <v>7564</v>
      </c>
      <c r="I147">
        <v>5</v>
      </c>
      <c r="J147" s="5">
        <v>3463</v>
      </c>
    </row>
    <row r="148" spans="1:10" x14ac:dyDescent="0.35">
      <c r="A148" s="1">
        <v>44156</v>
      </c>
      <c r="B148" s="2">
        <f>YEAR(Sales_Dataset[[#This Row],[Order Date]])</f>
        <v>2020</v>
      </c>
      <c r="C148" s="2">
        <f>MONTH(Sales_Dataset[[#This Row],[Order Date]])</f>
        <v>11</v>
      </c>
      <c r="D148" t="s">
        <v>310</v>
      </c>
      <c r="E148" t="s">
        <v>13</v>
      </c>
      <c r="F148" t="s">
        <v>10</v>
      </c>
      <c r="G148" t="s">
        <v>11</v>
      </c>
      <c r="H148" s="5">
        <v>3409</v>
      </c>
      <c r="I148">
        <v>20</v>
      </c>
      <c r="J148" s="5">
        <v>1605</v>
      </c>
    </row>
    <row r="149" spans="1:10" x14ac:dyDescent="0.35">
      <c r="A149" s="1">
        <v>44158</v>
      </c>
      <c r="B149" s="2">
        <f>YEAR(Sales_Dataset[[#This Row],[Order Date]])</f>
        <v>2020</v>
      </c>
      <c r="C149" s="2">
        <f>MONTH(Sales_Dataset[[#This Row],[Order Date]])</f>
        <v>11</v>
      </c>
      <c r="D149" t="s">
        <v>313</v>
      </c>
      <c r="E149" t="s">
        <v>15</v>
      </c>
      <c r="F149" t="s">
        <v>18</v>
      </c>
      <c r="G149" t="s">
        <v>19</v>
      </c>
      <c r="H149" s="5">
        <v>9751</v>
      </c>
      <c r="I149">
        <v>13</v>
      </c>
      <c r="J149" s="5">
        <v>2459</v>
      </c>
    </row>
    <row r="150" spans="1:10" x14ac:dyDescent="0.35">
      <c r="A150" s="1">
        <v>44160</v>
      </c>
      <c r="B150" s="2">
        <f>YEAR(Sales_Dataset[[#This Row],[Order Date]])</f>
        <v>2020</v>
      </c>
      <c r="C150" s="2">
        <f>MONTH(Sales_Dataset[[#This Row],[Order Date]])</f>
        <v>11</v>
      </c>
      <c r="D150" t="s">
        <v>733</v>
      </c>
      <c r="E150" t="s">
        <v>47</v>
      </c>
      <c r="F150" t="s">
        <v>18</v>
      </c>
      <c r="G150" t="s">
        <v>19</v>
      </c>
      <c r="H150" s="5">
        <v>7626</v>
      </c>
      <c r="I150">
        <v>5</v>
      </c>
      <c r="J150" s="5">
        <v>229</v>
      </c>
    </row>
    <row r="151" spans="1:10" x14ac:dyDescent="0.35">
      <c r="A151" s="1">
        <v>44162</v>
      </c>
      <c r="B151" s="2">
        <f>YEAR(Sales_Dataset[[#This Row],[Order Date]])</f>
        <v>2020</v>
      </c>
      <c r="C151" s="2">
        <f>MONTH(Sales_Dataset[[#This Row],[Order Date]])</f>
        <v>11</v>
      </c>
      <c r="D151" t="s">
        <v>338</v>
      </c>
      <c r="E151" t="s">
        <v>13</v>
      </c>
      <c r="F151" t="s">
        <v>10</v>
      </c>
      <c r="G151" t="s">
        <v>41</v>
      </c>
      <c r="H151" s="5">
        <v>5152</v>
      </c>
      <c r="I151">
        <v>14</v>
      </c>
      <c r="J151" s="5">
        <v>2045</v>
      </c>
    </row>
    <row r="152" spans="1:10" x14ac:dyDescent="0.35">
      <c r="A152" s="1">
        <v>44163</v>
      </c>
      <c r="B152" s="2">
        <f>YEAR(Sales_Dataset[[#This Row],[Order Date]])</f>
        <v>2020</v>
      </c>
      <c r="C152" s="2">
        <f>MONTH(Sales_Dataset[[#This Row],[Order Date]])</f>
        <v>11</v>
      </c>
      <c r="D152" t="s">
        <v>38</v>
      </c>
      <c r="E152" t="s">
        <v>22</v>
      </c>
      <c r="F152" t="s">
        <v>18</v>
      </c>
      <c r="G152" t="s">
        <v>39</v>
      </c>
      <c r="H152" s="5">
        <v>8971</v>
      </c>
      <c r="I152">
        <v>19</v>
      </c>
      <c r="J152" s="5">
        <v>2971</v>
      </c>
    </row>
    <row r="153" spans="1:10" x14ac:dyDescent="0.35">
      <c r="A153" s="1">
        <v>44163</v>
      </c>
      <c r="B153" s="2">
        <f>YEAR(Sales_Dataset[[#This Row],[Order Date]])</f>
        <v>2020</v>
      </c>
      <c r="C153" s="2">
        <f>MONTH(Sales_Dataset[[#This Row],[Order Date]])</f>
        <v>11</v>
      </c>
      <c r="D153" t="s">
        <v>38</v>
      </c>
      <c r="E153" t="s">
        <v>22</v>
      </c>
      <c r="F153" t="s">
        <v>18</v>
      </c>
      <c r="G153" t="s">
        <v>39</v>
      </c>
      <c r="H153" s="5">
        <v>2939</v>
      </c>
      <c r="I153">
        <v>20</v>
      </c>
      <c r="J153" s="5">
        <v>894</v>
      </c>
    </row>
    <row r="154" spans="1:10" x14ac:dyDescent="0.35">
      <c r="A154" s="1">
        <v>44164</v>
      </c>
      <c r="B154" s="2">
        <f>YEAR(Sales_Dataset[[#This Row],[Order Date]])</f>
        <v>2020</v>
      </c>
      <c r="C154" s="2">
        <f>MONTH(Sales_Dataset[[#This Row],[Order Date]])</f>
        <v>11</v>
      </c>
      <c r="D154" t="s">
        <v>291</v>
      </c>
      <c r="E154" t="s">
        <v>36</v>
      </c>
      <c r="F154" t="s">
        <v>10</v>
      </c>
      <c r="G154" t="s">
        <v>16</v>
      </c>
      <c r="H154" s="5">
        <v>6488</v>
      </c>
      <c r="I154">
        <v>18</v>
      </c>
      <c r="J154" s="5">
        <v>1591</v>
      </c>
    </row>
    <row r="155" spans="1:10" x14ac:dyDescent="0.35">
      <c r="A155" s="1">
        <v>44165</v>
      </c>
      <c r="B155" s="2">
        <f>YEAR(Sales_Dataset[[#This Row],[Order Date]])</f>
        <v>2020</v>
      </c>
      <c r="C155" s="2">
        <f>MONTH(Sales_Dataset[[#This Row],[Order Date]])</f>
        <v>11</v>
      </c>
      <c r="D155" t="s">
        <v>440</v>
      </c>
      <c r="E155" t="s">
        <v>22</v>
      </c>
      <c r="F155" t="s">
        <v>24</v>
      </c>
      <c r="G155" t="s">
        <v>27</v>
      </c>
      <c r="H155" s="5">
        <v>9279</v>
      </c>
      <c r="I155">
        <v>14</v>
      </c>
      <c r="J155" s="5">
        <v>552</v>
      </c>
    </row>
    <row r="156" spans="1:10" x14ac:dyDescent="0.35">
      <c r="A156" s="1">
        <v>44165</v>
      </c>
      <c r="B156" s="2">
        <f>YEAR(Sales_Dataset[[#This Row],[Order Date]])</f>
        <v>2020</v>
      </c>
      <c r="C156" s="2">
        <f>MONTH(Sales_Dataset[[#This Row],[Order Date]])</f>
        <v>11</v>
      </c>
      <c r="D156" t="s">
        <v>440</v>
      </c>
      <c r="E156" t="s">
        <v>22</v>
      </c>
      <c r="F156" t="s">
        <v>18</v>
      </c>
      <c r="G156" t="s">
        <v>33</v>
      </c>
      <c r="H156" s="5">
        <v>2596</v>
      </c>
      <c r="I156">
        <v>19</v>
      </c>
      <c r="J156" s="5">
        <v>1003</v>
      </c>
    </row>
    <row r="157" spans="1:10" x14ac:dyDescent="0.35">
      <c r="A157" s="1">
        <v>44170</v>
      </c>
      <c r="B157" s="2">
        <f>YEAR(Sales_Dataset[[#This Row],[Order Date]])</f>
        <v>2020</v>
      </c>
      <c r="C157" s="2">
        <f>MONTH(Sales_Dataset[[#This Row],[Order Date]])</f>
        <v>12</v>
      </c>
      <c r="D157" t="s">
        <v>170</v>
      </c>
      <c r="E157" t="s">
        <v>15</v>
      </c>
      <c r="F157" t="s">
        <v>24</v>
      </c>
      <c r="G157" t="s">
        <v>27</v>
      </c>
      <c r="H157" s="5">
        <v>738</v>
      </c>
      <c r="I157">
        <v>2</v>
      </c>
      <c r="J157" s="5">
        <v>342</v>
      </c>
    </row>
    <row r="158" spans="1:10" x14ac:dyDescent="0.35">
      <c r="A158" s="1">
        <v>44178</v>
      </c>
      <c r="B158" s="2">
        <f>YEAR(Sales_Dataset[[#This Row],[Order Date]])</f>
        <v>2020</v>
      </c>
      <c r="C158" s="2">
        <f>MONTH(Sales_Dataset[[#This Row],[Order Date]])</f>
        <v>12</v>
      </c>
      <c r="D158" t="s">
        <v>196</v>
      </c>
      <c r="E158" t="s">
        <v>13</v>
      </c>
      <c r="F158" t="s">
        <v>18</v>
      </c>
      <c r="G158" t="s">
        <v>33</v>
      </c>
      <c r="H158" s="5">
        <v>8581</v>
      </c>
      <c r="I158">
        <v>2</v>
      </c>
      <c r="J158" s="5">
        <v>2444</v>
      </c>
    </row>
    <row r="159" spans="1:10" x14ac:dyDescent="0.35">
      <c r="A159" s="1">
        <v>44178</v>
      </c>
      <c r="B159" s="2">
        <f>YEAR(Sales_Dataset[[#This Row],[Order Date]])</f>
        <v>2020</v>
      </c>
      <c r="C159" s="2">
        <f>MONTH(Sales_Dataset[[#This Row],[Order Date]])</f>
        <v>12</v>
      </c>
      <c r="D159" t="s">
        <v>814</v>
      </c>
      <c r="E159" t="s">
        <v>22</v>
      </c>
      <c r="F159" t="s">
        <v>24</v>
      </c>
      <c r="G159" t="s">
        <v>25</v>
      </c>
      <c r="H159" s="5">
        <v>2689</v>
      </c>
      <c r="I159">
        <v>3</v>
      </c>
      <c r="J159" s="5">
        <v>1330</v>
      </c>
    </row>
    <row r="160" spans="1:10" x14ac:dyDescent="0.35">
      <c r="A160" s="1">
        <v>44180</v>
      </c>
      <c r="B160" s="2">
        <f>YEAR(Sales_Dataset[[#This Row],[Order Date]])</f>
        <v>2020</v>
      </c>
      <c r="C160" s="2">
        <f>MONTH(Sales_Dataset[[#This Row],[Order Date]])</f>
        <v>12</v>
      </c>
      <c r="D160" t="s">
        <v>345</v>
      </c>
      <c r="E160" t="s">
        <v>47</v>
      </c>
      <c r="F160" t="s">
        <v>18</v>
      </c>
      <c r="G160" t="s">
        <v>30</v>
      </c>
      <c r="H160" s="5">
        <v>8102</v>
      </c>
      <c r="I160">
        <v>5</v>
      </c>
      <c r="J160" s="5">
        <v>1800</v>
      </c>
    </row>
    <row r="161" spans="1:10" x14ac:dyDescent="0.35">
      <c r="A161" s="1">
        <v>44180</v>
      </c>
      <c r="B161" s="2">
        <f>YEAR(Sales_Dataset[[#This Row],[Order Date]])</f>
        <v>2020</v>
      </c>
      <c r="C161" s="2">
        <f>MONTH(Sales_Dataset[[#This Row],[Order Date]])</f>
        <v>12</v>
      </c>
      <c r="D161" t="s">
        <v>345</v>
      </c>
      <c r="E161" t="s">
        <v>47</v>
      </c>
      <c r="F161" t="s">
        <v>24</v>
      </c>
      <c r="G161" t="s">
        <v>25</v>
      </c>
      <c r="H161" s="5">
        <v>3234</v>
      </c>
      <c r="I161">
        <v>10</v>
      </c>
      <c r="J161" s="5">
        <v>1274</v>
      </c>
    </row>
    <row r="162" spans="1:10" x14ac:dyDescent="0.35">
      <c r="A162" s="1">
        <v>44180</v>
      </c>
      <c r="B162" s="2">
        <f>YEAR(Sales_Dataset[[#This Row],[Order Date]])</f>
        <v>2020</v>
      </c>
      <c r="C162" s="2">
        <f>MONTH(Sales_Dataset[[#This Row],[Order Date]])</f>
        <v>12</v>
      </c>
      <c r="D162" t="s">
        <v>501</v>
      </c>
      <c r="E162" t="s">
        <v>13</v>
      </c>
      <c r="F162" t="s">
        <v>18</v>
      </c>
      <c r="G162" t="s">
        <v>30</v>
      </c>
      <c r="H162" s="5">
        <v>4220</v>
      </c>
      <c r="I162">
        <v>13</v>
      </c>
      <c r="J162" s="5">
        <v>945</v>
      </c>
    </row>
    <row r="163" spans="1:10" x14ac:dyDescent="0.35">
      <c r="A163" s="1">
        <v>44181</v>
      </c>
      <c r="B163" s="2">
        <f>YEAR(Sales_Dataset[[#This Row],[Order Date]])</f>
        <v>2020</v>
      </c>
      <c r="C163" s="2">
        <f>MONTH(Sales_Dataset[[#This Row],[Order Date]])</f>
        <v>12</v>
      </c>
      <c r="D163" t="s">
        <v>595</v>
      </c>
      <c r="E163" t="s">
        <v>15</v>
      </c>
      <c r="F163" t="s">
        <v>18</v>
      </c>
      <c r="G163" t="s">
        <v>39</v>
      </c>
      <c r="H163" s="5">
        <v>8305</v>
      </c>
      <c r="I163">
        <v>6</v>
      </c>
      <c r="J163" s="5">
        <v>1577</v>
      </c>
    </row>
    <row r="164" spans="1:10" x14ac:dyDescent="0.35">
      <c r="A164" s="1">
        <v>44182</v>
      </c>
      <c r="B164" s="2">
        <f>YEAR(Sales_Dataset[[#This Row],[Order Date]])</f>
        <v>2020</v>
      </c>
      <c r="C164" s="2">
        <f>MONTH(Sales_Dataset[[#This Row],[Order Date]])</f>
        <v>12</v>
      </c>
      <c r="D164" t="s">
        <v>704</v>
      </c>
      <c r="E164" t="s">
        <v>47</v>
      </c>
      <c r="F164" t="s">
        <v>24</v>
      </c>
      <c r="G164" t="s">
        <v>51</v>
      </c>
      <c r="H164" s="5">
        <v>3309</v>
      </c>
      <c r="I164">
        <v>13</v>
      </c>
      <c r="J164" s="5">
        <v>177</v>
      </c>
    </row>
    <row r="165" spans="1:10" x14ac:dyDescent="0.35">
      <c r="A165" s="1">
        <v>44186</v>
      </c>
      <c r="B165" s="2">
        <f>YEAR(Sales_Dataset[[#This Row],[Order Date]])</f>
        <v>2020</v>
      </c>
      <c r="C165" s="2">
        <f>MONTH(Sales_Dataset[[#This Row],[Order Date]])</f>
        <v>12</v>
      </c>
      <c r="D165" t="s">
        <v>138</v>
      </c>
      <c r="E165" t="s">
        <v>9</v>
      </c>
      <c r="F165" t="s">
        <v>24</v>
      </c>
      <c r="G165" t="s">
        <v>51</v>
      </c>
      <c r="H165" s="5">
        <v>8586</v>
      </c>
      <c r="I165">
        <v>7</v>
      </c>
      <c r="J165" s="5">
        <v>3826</v>
      </c>
    </row>
    <row r="166" spans="1:10" x14ac:dyDescent="0.35">
      <c r="A166" s="1">
        <v>44186</v>
      </c>
      <c r="B166" s="2">
        <f>YEAR(Sales_Dataset[[#This Row],[Order Date]])</f>
        <v>2020</v>
      </c>
      <c r="C166" s="2">
        <f>MONTH(Sales_Dataset[[#This Row],[Order Date]])</f>
        <v>12</v>
      </c>
      <c r="D166" t="s">
        <v>717</v>
      </c>
      <c r="E166" t="s">
        <v>9</v>
      </c>
      <c r="F166" t="s">
        <v>18</v>
      </c>
      <c r="G166" t="s">
        <v>30</v>
      </c>
      <c r="H166" s="5">
        <v>7019</v>
      </c>
      <c r="I166">
        <v>15</v>
      </c>
      <c r="J166" s="5">
        <v>2677</v>
      </c>
    </row>
    <row r="167" spans="1:10" x14ac:dyDescent="0.35">
      <c r="A167" s="1">
        <v>44188</v>
      </c>
      <c r="B167" s="2">
        <f>YEAR(Sales_Dataset[[#This Row],[Order Date]])</f>
        <v>2020</v>
      </c>
      <c r="C167" s="2">
        <f>MONTH(Sales_Dataset[[#This Row],[Order Date]])</f>
        <v>12</v>
      </c>
      <c r="D167" t="s">
        <v>562</v>
      </c>
      <c r="E167" t="s">
        <v>36</v>
      </c>
      <c r="F167" t="s">
        <v>24</v>
      </c>
      <c r="G167" t="s">
        <v>25</v>
      </c>
      <c r="H167" s="5">
        <v>714</v>
      </c>
      <c r="I167">
        <v>14</v>
      </c>
      <c r="J167" s="5">
        <v>232</v>
      </c>
    </row>
    <row r="168" spans="1:10" x14ac:dyDescent="0.35">
      <c r="A168" s="1">
        <v>44189</v>
      </c>
      <c r="B168" s="2">
        <f>YEAR(Sales_Dataset[[#This Row],[Order Date]])</f>
        <v>2020</v>
      </c>
      <c r="C168" s="2">
        <f>MONTH(Sales_Dataset[[#This Row],[Order Date]])</f>
        <v>12</v>
      </c>
      <c r="D168" t="s">
        <v>805</v>
      </c>
      <c r="E168" t="s">
        <v>9</v>
      </c>
      <c r="F168" t="s">
        <v>18</v>
      </c>
      <c r="G168" t="s">
        <v>30</v>
      </c>
      <c r="H168" s="5">
        <v>8044</v>
      </c>
      <c r="I168">
        <v>3</v>
      </c>
      <c r="J168" s="5">
        <v>3634</v>
      </c>
    </row>
    <row r="169" spans="1:10" x14ac:dyDescent="0.35">
      <c r="A169" s="1">
        <v>44192</v>
      </c>
      <c r="B169" s="2">
        <f>YEAR(Sales_Dataset[[#This Row],[Order Date]])</f>
        <v>2020</v>
      </c>
      <c r="C169" s="2">
        <f>MONTH(Sales_Dataset[[#This Row],[Order Date]])</f>
        <v>12</v>
      </c>
      <c r="D169" t="s">
        <v>690</v>
      </c>
      <c r="E169" t="s">
        <v>47</v>
      </c>
      <c r="F169" t="s">
        <v>24</v>
      </c>
      <c r="G169" t="s">
        <v>25</v>
      </c>
      <c r="H169" s="5">
        <v>8752</v>
      </c>
      <c r="I169">
        <v>9</v>
      </c>
      <c r="J169" s="5">
        <v>1686</v>
      </c>
    </row>
    <row r="170" spans="1:10" x14ac:dyDescent="0.35">
      <c r="A170" s="1">
        <v>44196</v>
      </c>
      <c r="B170" s="2">
        <f>YEAR(Sales_Dataset[[#This Row],[Order Date]])</f>
        <v>2020</v>
      </c>
      <c r="C170" s="2">
        <f>MONTH(Sales_Dataset[[#This Row],[Order Date]])</f>
        <v>12</v>
      </c>
      <c r="D170" t="s">
        <v>651</v>
      </c>
      <c r="E170" t="s">
        <v>47</v>
      </c>
      <c r="F170" t="s">
        <v>24</v>
      </c>
      <c r="G170" t="s">
        <v>25</v>
      </c>
      <c r="H170" s="5">
        <v>6089</v>
      </c>
      <c r="I170">
        <v>19</v>
      </c>
      <c r="J170" s="5">
        <v>139</v>
      </c>
    </row>
    <row r="171" spans="1:10" x14ac:dyDescent="0.35">
      <c r="A171" s="1">
        <v>44196</v>
      </c>
      <c r="B171" s="2">
        <f>YEAR(Sales_Dataset[[#This Row],[Order Date]])</f>
        <v>2020</v>
      </c>
      <c r="C171" s="2">
        <f>MONTH(Sales_Dataset[[#This Row],[Order Date]])</f>
        <v>12</v>
      </c>
      <c r="D171" t="s">
        <v>651</v>
      </c>
      <c r="E171" t="s">
        <v>47</v>
      </c>
      <c r="F171" t="s">
        <v>24</v>
      </c>
      <c r="G171" t="s">
        <v>25</v>
      </c>
      <c r="H171" s="5">
        <v>2586</v>
      </c>
      <c r="I171">
        <v>16</v>
      </c>
      <c r="J171" s="5">
        <v>800</v>
      </c>
    </row>
    <row r="172" spans="1:10" x14ac:dyDescent="0.35">
      <c r="A172" s="1">
        <v>44196</v>
      </c>
      <c r="B172" s="2">
        <f>YEAR(Sales_Dataset[[#This Row],[Order Date]])</f>
        <v>2020</v>
      </c>
      <c r="C172" s="2">
        <f>MONTH(Sales_Dataset[[#This Row],[Order Date]])</f>
        <v>12</v>
      </c>
      <c r="D172" t="s">
        <v>651</v>
      </c>
      <c r="E172" t="s">
        <v>47</v>
      </c>
      <c r="F172" t="s">
        <v>18</v>
      </c>
      <c r="G172" t="s">
        <v>33</v>
      </c>
      <c r="H172" s="5">
        <v>3757</v>
      </c>
      <c r="I172">
        <v>9</v>
      </c>
      <c r="J172" s="5">
        <v>1626</v>
      </c>
    </row>
    <row r="173" spans="1:10" x14ac:dyDescent="0.35">
      <c r="A173" s="1">
        <v>44199</v>
      </c>
      <c r="B173" s="2">
        <f>YEAR(Sales_Dataset[[#This Row],[Order Date]])</f>
        <v>2021</v>
      </c>
      <c r="C173" s="2">
        <f>MONTH(Sales_Dataset[[#This Row],[Order Date]])</f>
        <v>1</v>
      </c>
      <c r="D173" t="s">
        <v>156</v>
      </c>
      <c r="E173" t="s">
        <v>22</v>
      </c>
      <c r="F173" t="s">
        <v>18</v>
      </c>
      <c r="G173" t="s">
        <v>19</v>
      </c>
      <c r="H173" s="5">
        <v>914</v>
      </c>
      <c r="I173">
        <v>8</v>
      </c>
      <c r="J173" s="5">
        <v>400</v>
      </c>
    </row>
    <row r="174" spans="1:10" x14ac:dyDescent="0.35">
      <c r="A174" s="1">
        <v>44199</v>
      </c>
      <c r="B174" s="2">
        <f>YEAR(Sales_Dataset[[#This Row],[Order Date]])</f>
        <v>2021</v>
      </c>
      <c r="C174" s="2">
        <f>MONTH(Sales_Dataset[[#This Row],[Order Date]])</f>
        <v>1</v>
      </c>
      <c r="D174" t="s">
        <v>156</v>
      </c>
      <c r="E174" t="s">
        <v>22</v>
      </c>
      <c r="F174" t="s">
        <v>18</v>
      </c>
      <c r="G174" t="s">
        <v>33</v>
      </c>
      <c r="H174" s="5">
        <v>1548</v>
      </c>
      <c r="I174">
        <v>3</v>
      </c>
      <c r="J174" s="5">
        <v>666</v>
      </c>
    </row>
    <row r="175" spans="1:10" x14ac:dyDescent="0.35">
      <c r="A175" s="1">
        <v>44199</v>
      </c>
      <c r="B175" s="2">
        <f>YEAR(Sales_Dataset[[#This Row],[Order Date]])</f>
        <v>2021</v>
      </c>
      <c r="C175" s="2">
        <f>MONTH(Sales_Dataset[[#This Row],[Order Date]])</f>
        <v>1</v>
      </c>
      <c r="D175" t="s">
        <v>480</v>
      </c>
      <c r="E175" t="s">
        <v>15</v>
      </c>
      <c r="F175" t="s">
        <v>10</v>
      </c>
      <c r="G175" t="s">
        <v>41</v>
      </c>
      <c r="H175" s="5">
        <v>2280</v>
      </c>
      <c r="I175">
        <v>8</v>
      </c>
      <c r="J175" s="5">
        <v>509</v>
      </c>
    </row>
    <row r="176" spans="1:10" x14ac:dyDescent="0.35">
      <c r="A176" s="1">
        <v>44200</v>
      </c>
      <c r="B176" s="2">
        <f>YEAR(Sales_Dataset[[#This Row],[Order Date]])</f>
        <v>2021</v>
      </c>
      <c r="C176" s="2">
        <f>MONTH(Sales_Dataset[[#This Row],[Order Date]])</f>
        <v>1</v>
      </c>
      <c r="D176" t="s">
        <v>677</v>
      </c>
      <c r="E176" t="s">
        <v>15</v>
      </c>
      <c r="F176" t="s">
        <v>18</v>
      </c>
      <c r="G176" t="s">
        <v>30</v>
      </c>
      <c r="H176" s="5">
        <v>5338</v>
      </c>
      <c r="I176">
        <v>16</v>
      </c>
      <c r="J176" s="5">
        <v>1354</v>
      </c>
    </row>
    <row r="177" spans="1:10" x14ac:dyDescent="0.35">
      <c r="A177" s="1">
        <v>44215</v>
      </c>
      <c r="B177" s="2">
        <f>YEAR(Sales_Dataset[[#This Row],[Order Date]])</f>
        <v>2021</v>
      </c>
      <c r="C177" s="2">
        <f>MONTH(Sales_Dataset[[#This Row],[Order Date]])</f>
        <v>1</v>
      </c>
      <c r="D177" t="s">
        <v>132</v>
      </c>
      <c r="E177" t="s">
        <v>13</v>
      </c>
      <c r="F177" t="s">
        <v>18</v>
      </c>
      <c r="G177" t="s">
        <v>19</v>
      </c>
      <c r="H177" s="5">
        <v>782</v>
      </c>
      <c r="I177">
        <v>8</v>
      </c>
      <c r="J177" s="5">
        <v>374</v>
      </c>
    </row>
    <row r="178" spans="1:10" x14ac:dyDescent="0.35">
      <c r="A178" s="1">
        <v>44215</v>
      </c>
      <c r="B178" s="2">
        <f>YEAR(Sales_Dataset[[#This Row],[Order Date]])</f>
        <v>2021</v>
      </c>
      <c r="C178" s="2">
        <f>MONTH(Sales_Dataset[[#This Row],[Order Date]])</f>
        <v>1</v>
      </c>
      <c r="D178" t="s">
        <v>132</v>
      </c>
      <c r="E178" t="s">
        <v>13</v>
      </c>
      <c r="F178" t="s">
        <v>10</v>
      </c>
      <c r="G178" t="s">
        <v>23</v>
      </c>
      <c r="H178" s="5">
        <v>4371</v>
      </c>
      <c r="I178">
        <v>1</v>
      </c>
      <c r="J178" s="5">
        <v>1852</v>
      </c>
    </row>
    <row r="179" spans="1:10" x14ac:dyDescent="0.35">
      <c r="A179" s="1">
        <v>44217</v>
      </c>
      <c r="B179" s="2">
        <f>YEAR(Sales_Dataset[[#This Row],[Order Date]])</f>
        <v>2021</v>
      </c>
      <c r="C179" s="2">
        <f>MONTH(Sales_Dataset[[#This Row],[Order Date]])</f>
        <v>1</v>
      </c>
      <c r="D179" t="s">
        <v>420</v>
      </c>
      <c r="E179" t="s">
        <v>47</v>
      </c>
      <c r="F179" t="s">
        <v>18</v>
      </c>
      <c r="G179" t="s">
        <v>30</v>
      </c>
      <c r="H179" s="5">
        <v>838</v>
      </c>
      <c r="I179">
        <v>11</v>
      </c>
      <c r="J179" s="5">
        <v>271</v>
      </c>
    </row>
    <row r="180" spans="1:10" x14ac:dyDescent="0.35">
      <c r="A180" s="1">
        <v>44217</v>
      </c>
      <c r="B180" s="2">
        <f>YEAR(Sales_Dataset[[#This Row],[Order Date]])</f>
        <v>2021</v>
      </c>
      <c r="C180" s="2">
        <f>MONTH(Sales_Dataset[[#This Row],[Order Date]])</f>
        <v>1</v>
      </c>
      <c r="D180" t="s">
        <v>420</v>
      </c>
      <c r="E180" t="s">
        <v>47</v>
      </c>
      <c r="F180" t="s">
        <v>24</v>
      </c>
      <c r="G180" t="s">
        <v>25</v>
      </c>
      <c r="H180" s="5">
        <v>3577</v>
      </c>
      <c r="I180">
        <v>2</v>
      </c>
      <c r="J180" s="5">
        <v>699</v>
      </c>
    </row>
    <row r="181" spans="1:10" x14ac:dyDescent="0.35">
      <c r="A181" s="1">
        <v>44226</v>
      </c>
      <c r="B181" s="2">
        <f>YEAR(Sales_Dataset[[#This Row],[Order Date]])</f>
        <v>2021</v>
      </c>
      <c r="C181" s="2">
        <f>MONTH(Sales_Dataset[[#This Row],[Order Date]])</f>
        <v>1</v>
      </c>
      <c r="D181" t="s">
        <v>264</v>
      </c>
      <c r="E181" t="s">
        <v>22</v>
      </c>
      <c r="F181" t="s">
        <v>10</v>
      </c>
      <c r="G181" t="s">
        <v>11</v>
      </c>
      <c r="H181" s="5">
        <v>2539</v>
      </c>
      <c r="I181">
        <v>5</v>
      </c>
      <c r="J181" s="5">
        <v>324</v>
      </c>
    </row>
    <row r="182" spans="1:10" x14ac:dyDescent="0.35">
      <c r="A182" s="1">
        <v>44231</v>
      </c>
      <c r="B182" s="2">
        <f>YEAR(Sales_Dataset[[#This Row],[Order Date]])</f>
        <v>2021</v>
      </c>
      <c r="C182" s="2">
        <f>MONTH(Sales_Dataset[[#This Row],[Order Date]])</f>
        <v>2</v>
      </c>
      <c r="D182" t="s">
        <v>141</v>
      </c>
      <c r="E182" t="s">
        <v>13</v>
      </c>
      <c r="F182" t="s">
        <v>24</v>
      </c>
      <c r="G182" t="s">
        <v>31</v>
      </c>
      <c r="H182" s="5">
        <v>5047</v>
      </c>
      <c r="I182">
        <v>13</v>
      </c>
      <c r="J182" s="5">
        <v>2211</v>
      </c>
    </row>
    <row r="183" spans="1:10" x14ac:dyDescent="0.35">
      <c r="A183" s="1">
        <v>44233</v>
      </c>
      <c r="B183" s="2">
        <f>YEAR(Sales_Dataset[[#This Row],[Order Date]])</f>
        <v>2021</v>
      </c>
      <c r="C183" s="2">
        <f>MONTH(Sales_Dataset[[#This Row],[Order Date]])</f>
        <v>2</v>
      </c>
      <c r="D183" t="s">
        <v>455</v>
      </c>
      <c r="E183" t="s">
        <v>22</v>
      </c>
      <c r="F183" t="s">
        <v>24</v>
      </c>
      <c r="G183" t="s">
        <v>31</v>
      </c>
      <c r="H183" s="5">
        <v>3913</v>
      </c>
      <c r="I183">
        <v>15</v>
      </c>
      <c r="J183" s="5">
        <v>961</v>
      </c>
    </row>
    <row r="184" spans="1:10" x14ac:dyDescent="0.35">
      <c r="A184" s="1">
        <v>44236</v>
      </c>
      <c r="B184" s="2">
        <f>YEAR(Sales_Dataset[[#This Row],[Order Date]])</f>
        <v>2021</v>
      </c>
      <c r="C184" s="2">
        <f>MONTH(Sales_Dataset[[#This Row],[Order Date]])</f>
        <v>2</v>
      </c>
      <c r="D184" t="s">
        <v>226</v>
      </c>
      <c r="E184" t="s">
        <v>36</v>
      </c>
      <c r="F184" t="s">
        <v>10</v>
      </c>
      <c r="G184" t="s">
        <v>23</v>
      </c>
      <c r="H184" s="5">
        <v>2791</v>
      </c>
      <c r="I184">
        <v>14</v>
      </c>
      <c r="J184" s="5">
        <v>894</v>
      </c>
    </row>
    <row r="185" spans="1:10" x14ac:dyDescent="0.35">
      <c r="A185" s="1">
        <v>44236</v>
      </c>
      <c r="B185" s="2">
        <f>YEAR(Sales_Dataset[[#This Row],[Order Date]])</f>
        <v>2021</v>
      </c>
      <c r="C185" s="2">
        <f>MONTH(Sales_Dataset[[#This Row],[Order Date]])</f>
        <v>2</v>
      </c>
      <c r="D185" t="s">
        <v>226</v>
      </c>
      <c r="E185" t="s">
        <v>36</v>
      </c>
      <c r="F185" t="s">
        <v>24</v>
      </c>
      <c r="G185" t="s">
        <v>31</v>
      </c>
      <c r="H185" s="5">
        <v>6223</v>
      </c>
      <c r="I185">
        <v>3</v>
      </c>
      <c r="J185" s="5">
        <v>1478</v>
      </c>
    </row>
    <row r="186" spans="1:10" x14ac:dyDescent="0.35">
      <c r="A186" s="1">
        <v>44236</v>
      </c>
      <c r="B186" s="2">
        <f>YEAR(Sales_Dataset[[#This Row],[Order Date]])</f>
        <v>2021</v>
      </c>
      <c r="C186" s="2">
        <f>MONTH(Sales_Dataset[[#This Row],[Order Date]])</f>
        <v>2</v>
      </c>
      <c r="D186" t="s">
        <v>226</v>
      </c>
      <c r="E186" t="s">
        <v>36</v>
      </c>
      <c r="F186" t="s">
        <v>24</v>
      </c>
      <c r="G186" t="s">
        <v>27</v>
      </c>
      <c r="H186" s="5">
        <v>8943</v>
      </c>
      <c r="I186">
        <v>17</v>
      </c>
      <c r="J186" s="5">
        <v>3121</v>
      </c>
    </row>
    <row r="187" spans="1:10" x14ac:dyDescent="0.35">
      <c r="A187" s="1">
        <v>44236</v>
      </c>
      <c r="B187" s="2">
        <f>YEAR(Sales_Dataset[[#This Row],[Order Date]])</f>
        <v>2021</v>
      </c>
      <c r="C187" s="2">
        <f>MONTH(Sales_Dataset[[#This Row],[Order Date]])</f>
        <v>2</v>
      </c>
      <c r="D187" t="s">
        <v>226</v>
      </c>
      <c r="E187" t="s">
        <v>36</v>
      </c>
      <c r="F187" t="s">
        <v>10</v>
      </c>
      <c r="G187" t="s">
        <v>41</v>
      </c>
      <c r="H187" s="5">
        <v>3297</v>
      </c>
      <c r="I187">
        <v>12</v>
      </c>
      <c r="J187" s="5">
        <v>102</v>
      </c>
    </row>
    <row r="188" spans="1:10" x14ac:dyDescent="0.35">
      <c r="A188" s="1">
        <v>44237</v>
      </c>
      <c r="B188" s="2">
        <f>YEAR(Sales_Dataset[[#This Row],[Order Date]])</f>
        <v>2021</v>
      </c>
      <c r="C188" s="2">
        <f>MONTH(Sales_Dataset[[#This Row],[Order Date]])</f>
        <v>2</v>
      </c>
      <c r="D188" t="s">
        <v>443</v>
      </c>
      <c r="E188" t="s">
        <v>13</v>
      </c>
      <c r="F188" t="s">
        <v>24</v>
      </c>
      <c r="G188" t="s">
        <v>25</v>
      </c>
      <c r="H188" s="5">
        <v>8945</v>
      </c>
      <c r="I188">
        <v>10</v>
      </c>
      <c r="J188" s="5">
        <v>1728</v>
      </c>
    </row>
    <row r="189" spans="1:10" x14ac:dyDescent="0.35">
      <c r="A189" s="1">
        <v>44239</v>
      </c>
      <c r="B189" s="2">
        <f>YEAR(Sales_Dataset[[#This Row],[Order Date]])</f>
        <v>2021</v>
      </c>
      <c r="C189" s="2">
        <f>MONTH(Sales_Dataset[[#This Row],[Order Date]])</f>
        <v>2</v>
      </c>
      <c r="D189" t="s">
        <v>322</v>
      </c>
      <c r="E189" t="s">
        <v>13</v>
      </c>
      <c r="F189" t="s">
        <v>18</v>
      </c>
      <c r="G189" t="s">
        <v>33</v>
      </c>
      <c r="H189" s="5">
        <v>7792</v>
      </c>
      <c r="I189">
        <v>13</v>
      </c>
      <c r="J189" s="5">
        <v>1403</v>
      </c>
    </row>
    <row r="190" spans="1:10" x14ac:dyDescent="0.35">
      <c r="A190" s="1">
        <v>44239</v>
      </c>
      <c r="B190" s="2">
        <f>YEAR(Sales_Dataset[[#This Row],[Order Date]])</f>
        <v>2021</v>
      </c>
      <c r="C190" s="2">
        <f>MONTH(Sales_Dataset[[#This Row],[Order Date]])</f>
        <v>2</v>
      </c>
      <c r="D190" t="s">
        <v>322</v>
      </c>
      <c r="E190" t="s">
        <v>13</v>
      </c>
      <c r="F190" t="s">
        <v>24</v>
      </c>
      <c r="G190" t="s">
        <v>27</v>
      </c>
      <c r="H190" s="5">
        <v>2346</v>
      </c>
      <c r="I190">
        <v>14</v>
      </c>
      <c r="J190" s="5">
        <v>388</v>
      </c>
    </row>
    <row r="191" spans="1:10" x14ac:dyDescent="0.35">
      <c r="A191" s="1">
        <v>44241</v>
      </c>
      <c r="B191" s="2">
        <f>YEAR(Sales_Dataset[[#This Row],[Order Date]])</f>
        <v>2021</v>
      </c>
      <c r="C191" s="2">
        <f>MONTH(Sales_Dataset[[#This Row],[Order Date]])</f>
        <v>2</v>
      </c>
      <c r="D191" t="s">
        <v>497</v>
      </c>
      <c r="E191" t="s">
        <v>9</v>
      </c>
      <c r="F191" t="s">
        <v>10</v>
      </c>
      <c r="G191" t="s">
        <v>16</v>
      </c>
      <c r="H191" s="5">
        <v>2792</v>
      </c>
      <c r="I191">
        <v>8</v>
      </c>
      <c r="J191" s="5">
        <v>1008</v>
      </c>
    </row>
    <row r="192" spans="1:10" x14ac:dyDescent="0.35">
      <c r="A192" s="1">
        <v>44244</v>
      </c>
      <c r="B192" s="2">
        <f>YEAR(Sales_Dataset[[#This Row],[Order Date]])</f>
        <v>2021</v>
      </c>
      <c r="C192" s="2">
        <f>MONTH(Sales_Dataset[[#This Row],[Order Date]])</f>
        <v>2</v>
      </c>
      <c r="D192" t="s">
        <v>352</v>
      </c>
      <c r="E192" t="s">
        <v>13</v>
      </c>
      <c r="F192" t="s">
        <v>18</v>
      </c>
      <c r="G192" t="s">
        <v>19</v>
      </c>
      <c r="H192" s="5">
        <v>3022</v>
      </c>
      <c r="I192">
        <v>1</v>
      </c>
      <c r="J192" s="5">
        <v>384</v>
      </c>
    </row>
    <row r="193" spans="1:10" x14ac:dyDescent="0.35">
      <c r="A193" s="1">
        <v>44244</v>
      </c>
      <c r="B193" s="2">
        <f>YEAR(Sales_Dataset[[#This Row],[Order Date]])</f>
        <v>2021</v>
      </c>
      <c r="C193" s="2">
        <f>MONTH(Sales_Dataset[[#This Row],[Order Date]])</f>
        <v>2</v>
      </c>
      <c r="D193" t="s">
        <v>352</v>
      </c>
      <c r="E193" t="s">
        <v>13</v>
      </c>
      <c r="F193" t="s">
        <v>10</v>
      </c>
      <c r="G193" t="s">
        <v>11</v>
      </c>
      <c r="H193" s="5">
        <v>5266</v>
      </c>
      <c r="I193">
        <v>13</v>
      </c>
      <c r="J193" s="5">
        <v>1111</v>
      </c>
    </row>
    <row r="194" spans="1:10" x14ac:dyDescent="0.35">
      <c r="A194" s="1">
        <v>44245</v>
      </c>
      <c r="B194" s="2">
        <f>YEAR(Sales_Dataset[[#This Row],[Order Date]])</f>
        <v>2021</v>
      </c>
      <c r="C194" s="2">
        <f>MONTH(Sales_Dataset[[#This Row],[Order Date]])</f>
        <v>2</v>
      </c>
      <c r="D194" t="s">
        <v>280</v>
      </c>
      <c r="E194" t="s">
        <v>22</v>
      </c>
      <c r="F194" t="s">
        <v>10</v>
      </c>
      <c r="G194" t="s">
        <v>41</v>
      </c>
      <c r="H194" s="5">
        <v>7838</v>
      </c>
      <c r="I194">
        <v>13</v>
      </c>
      <c r="J194" s="5">
        <v>1142</v>
      </c>
    </row>
    <row r="195" spans="1:10" x14ac:dyDescent="0.35">
      <c r="A195" s="1">
        <v>44245</v>
      </c>
      <c r="B195" s="2">
        <f>YEAR(Sales_Dataset[[#This Row],[Order Date]])</f>
        <v>2021</v>
      </c>
      <c r="C195" s="2">
        <f>MONTH(Sales_Dataset[[#This Row],[Order Date]])</f>
        <v>2</v>
      </c>
      <c r="D195" t="s">
        <v>280</v>
      </c>
      <c r="E195" t="s">
        <v>22</v>
      </c>
      <c r="F195" t="s">
        <v>10</v>
      </c>
      <c r="G195" t="s">
        <v>41</v>
      </c>
      <c r="H195" s="5">
        <v>9300</v>
      </c>
      <c r="I195">
        <v>6</v>
      </c>
      <c r="J195" s="5">
        <v>3146</v>
      </c>
    </row>
    <row r="196" spans="1:10" x14ac:dyDescent="0.35">
      <c r="A196" s="1">
        <v>44245</v>
      </c>
      <c r="B196" s="2">
        <f>YEAR(Sales_Dataset[[#This Row],[Order Date]])</f>
        <v>2021</v>
      </c>
      <c r="C196" s="2">
        <f>MONTH(Sales_Dataset[[#This Row],[Order Date]])</f>
        <v>2</v>
      </c>
      <c r="D196" t="s">
        <v>280</v>
      </c>
      <c r="E196" t="s">
        <v>22</v>
      </c>
      <c r="F196" t="s">
        <v>18</v>
      </c>
      <c r="G196" t="s">
        <v>33</v>
      </c>
      <c r="H196" s="5">
        <v>1733</v>
      </c>
      <c r="I196">
        <v>17</v>
      </c>
      <c r="J196" s="5">
        <v>133</v>
      </c>
    </row>
    <row r="197" spans="1:10" x14ac:dyDescent="0.35">
      <c r="A197" s="1">
        <v>44249</v>
      </c>
      <c r="B197" s="2">
        <f>YEAR(Sales_Dataset[[#This Row],[Order Date]])</f>
        <v>2021</v>
      </c>
      <c r="C197" s="2">
        <f>MONTH(Sales_Dataset[[#This Row],[Order Date]])</f>
        <v>2</v>
      </c>
      <c r="D197" t="s">
        <v>744</v>
      </c>
      <c r="E197" t="s">
        <v>13</v>
      </c>
      <c r="F197" t="s">
        <v>10</v>
      </c>
      <c r="G197" t="s">
        <v>41</v>
      </c>
      <c r="H197" s="5">
        <v>9498</v>
      </c>
      <c r="I197">
        <v>12</v>
      </c>
      <c r="J197" s="5">
        <v>256</v>
      </c>
    </row>
    <row r="198" spans="1:10" x14ac:dyDescent="0.35">
      <c r="A198" s="1">
        <v>44255</v>
      </c>
      <c r="B198" s="2">
        <f>YEAR(Sales_Dataset[[#This Row],[Order Date]])</f>
        <v>2021</v>
      </c>
      <c r="C198" s="2">
        <f>MONTH(Sales_Dataset[[#This Row],[Order Date]])</f>
        <v>2</v>
      </c>
      <c r="D198" t="s">
        <v>563</v>
      </c>
      <c r="E198" t="s">
        <v>36</v>
      </c>
      <c r="F198" t="s">
        <v>18</v>
      </c>
      <c r="G198" t="s">
        <v>19</v>
      </c>
      <c r="H198" s="5">
        <v>1083</v>
      </c>
      <c r="I198">
        <v>6</v>
      </c>
      <c r="J198" s="5">
        <v>501</v>
      </c>
    </row>
    <row r="199" spans="1:10" x14ac:dyDescent="0.35">
      <c r="A199" s="1">
        <v>44256</v>
      </c>
      <c r="B199" s="2">
        <f>YEAR(Sales_Dataset[[#This Row],[Order Date]])</f>
        <v>2021</v>
      </c>
      <c r="C199" s="2">
        <f>MONTH(Sales_Dataset[[#This Row],[Order Date]])</f>
        <v>3</v>
      </c>
      <c r="D199" t="s">
        <v>824</v>
      </c>
      <c r="E199" t="s">
        <v>22</v>
      </c>
      <c r="F199" t="s">
        <v>24</v>
      </c>
      <c r="G199" t="s">
        <v>51</v>
      </c>
      <c r="H199" s="5">
        <v>6093</v>
      </c>
      <c r="I199">
        <v>9</v>
      </c>
      <c r="J199" s="5">
        <v>3042</v>
      </c>
    </row>
    <row r="200" spans="1:10" x14ac:dyDescent="0.35">
      <c r="A200" s="1">
        <v>44258</v>
      </c>
      <c r="B200" s="2">
        <f>YEAR(Sales_Dataset[[#This Row],[Order Date]])</f>
        <v>2021</v>
      </c>
      <c r="C200" s="2">
        <f>MONTH(Sales_Dataset[[#This Row],[Order Date]])</f>
        <v>3</v>
      </c>
      <c r="D200" t="s">
        <v>93</v>
      </c>
      <c r="E200" t="s">
        <v>15</v>
      </c>
      <c r="F200" t="s">
        <v>24</v>
      </c>
      <c r="G200" t="s">
        <v>51</v>
      </c>
      <c r="H200" s="5">
        <v>2478</v>
      </c>
      <c r="I200">
        <v>12</v>
      </c>
      <c r="J200" s="5">
        <v>92</v>
      </c>
    </row>
    <row r="201" spans="1:10" x14ac:dyDescent="0.35">
      <c r="A201" s="1">
        <v>44260</v>
      </c>
      <c r="B201" s="2">
        <f>YEAR(Sales_Dataset[[#This Row],[Order Date]])</f>
        <v>2021</v>
      </c>
      <c r="C201" s="2">
        <f>MONTH(Sales_Dataset[[#This Row],[Order Date]])</f>
        <v>3</v>
      </c>
      <c r="D201" t="s">
        <v>771</v>
      </c>
      <c r="E201" t="s">
        <v>36</v>
      </c>
      <c r="F201" t="s">
        <v>10</v>
      </c>
      <c r="G201" t="s">
        <v>23</v>
      </c>
      <c r="H201" s="5">
        <v>544</v>
      </c>
      <c r="I201">
        <v>2</v>
      </c>
      <c r="J201" s="5">
        <v>272</v>
      </c>
    </row>
    <row r="202" spans="1:10" x14ac:dyDescent="0.35">
      <c r="A202" s="1">
        <v>44261</v>
      </c>
      <c r="B202" s="2">
        <f>YEAR(Sales_Dataset[[#This Row],[Order Date]])</f>
        <v>2021</v>
      </c>
      <c r="C202" s="2">
        <f>MONTH(Sales_Dataset[[#This Row],[Order Date]])</f>
        <v>3</v>
      </c>
      <c r="D202" t="s">
        <v>151</v>
      </c>
      <c r="E202" t="s">
        <v>36</v>
      </c>
      <c r="F202" t="s">
        <v>18</v>
      </c>
      <c r="G202" t="s">
        <v>19</v>
      </c>
      <c r="H202" s="5">
        <v>9704</v>
      </c>
      <c r="I202">
        <v>12</v>
      </c>
      <c r="J202" s="5">
        <v>4339</v>
      </c>
    </row>
    <row r="203" spans="1:10" x14ac:dyDescent="0.35">
      <c r="A203" s="1">
        <v>44261</v>
      </c>
      <c r="B203" s="2">
        <f>YEAR(Sales_Dataset[[#This Row],[Order Date]])</f>
        <v>2021</v>
      </c>
      <c r="C203" s="2">
        <f>MONTH(Sales_Dataset[[#This Row],[Order Date]])</f>
        <v>3</v>
      </c>
      <c r="D203" t="s">
        <v>151</v>
      </c>
      <c r="E203" t="s">
        <v>36</v>
      </c>
      <c r="F203" t="s">
        <v>10</v>
      </c>
      <c r="G203" t="s">
        <v>16</v>
      </c>
      <c r="H203" s="5">
        <v>4948</v>
      </c>
      <c r="I203">
        <v>18</v>
      </c>
      <c r="J203" s="5">
        <v>2356</v>
      </c>
    </row>
    <row r="204" spans="1:10" x14ac:dyDescent="0.35">
      <c r="A204" s="1">
        <v>44261</v>
      </c>
      <c r="B204" s="2">
        <f>YEAR(Sales_Dataset[[#This Row],[Order Date]])</f>
        <v>2021</v>
      </c>
      <c r="C204" s="2">
        <f>MONTH(Sales_Dataset[[#This Row],[Order Date]])</f>
        <v>3</v>
      </c>
      <c r="D204" t="s">
        <v>151</v>
      </c>
      <c r="E204" t="s">
        <v>36</v>
      </c>
      <c r="F204" t="s">
        <v>10</v>
      </c>
      <c r="G204" t="s">
        <v>11</v>
      </c>
      <c r="H204" s="5">
        <v>6435</v>
      </c>
      <c r="I204">
        <v>10</v>
      </c>
      <c r="J204" s="5">
        <v>334</v>
      </c>
    </row>
    <row r="205" spans="1:10" x14ac:dyDescent="0.35">
      <c r="A205" s="1">
        <v>44262</v>
      </c>
      <c r="B205" s="2">
        <f>YEAR(Sales_Dataset[[#This Row],[Order Date]])</f>
        <v>2021</v>
      </c>
      <c r="C205" s="2">
        <f>MONTH(Sales_Dataset[[#This Row],[Order Date]])</f>
        <v>3</v>
      </c>
      <c r="D205" t="s">
        <v>479</v>
      </c>
      <c r="E205" t="s">
        <v>47</v>
      </c>
      <c r="F205" t="s">
        <v>24</v>
      </c>
      <c r="G205" t="s">
        <v>27</v>
      </c>
      <c r="H205" s="5">
        <v>5393</v>
      </c>
      <c r="I205">
        <v>8</v>
      </c>
      <c r="J205" s="5">
        <v>2642</v>
      </c>
    </row>
    <row r="206" spans="1:10" x14ac:dyDescent="0.35">
      <c r="A206" s="1">
        <v>44267</v>
      </c>
      <c r="B206" s="2">
        <f>YEAR(Sales_Dataset[[#This Row],[Order Date]])</f>
        <v>2021</v>
      </c>
      <c r="C206" s="2">
        <f>MONTH(Sales_Dataset[[#This Row],[Order Date]])</f>
        <v>3</v>
      </c>
      <c r="D206" t="s">
        <v>666</v>
      </c>
      <c r="E206" t="s">
        <v>47</v>
      </c>
      <c r="F206" t="s">
        <v>24</v>
      </c>
      <c r="G206" t="s">
        <v>31</v>
      </c>
      <c r="H206" s="5">
        <v>6265</v>
      </c>
      <c r="I206">
        <v>8</v>
      </c>
      <c r="J206" s="5">
        <v>155</v>
      </c>
    </row>
    <row r="207" spans="1:10" x14ac:dyDescent="0.35">
      <c r="A207" s="1">
        <v>44268</v>
      </c>
      <c r="B207" s="2">
        <f>YEAR(Sales_Dataset[[#This Row],[Order Date]])</f>
        <v>2021</v>
      </c>
      <c r="C207" s="2">
        <f>MONTH(Sales_Dataset[[#This Row],[Order Date]])</f>
        <v>3</v>
      </c>
      <c r="D207" t="s">
        <v>534</v>
      </c>
      <c r="E207" t="s">
        <v>9</v>
      </c>
      <c r="F207" t="s">
        <v>10</v>
      </c>
      <c r="G207" t="s">
        <v>41</v>
      </c>
      <c r="H207" s="5">
        <v>702</v>
      </c>
      <c r="I207">
        <v>9</v>
      </c>
      <c r="J207" s="5">
        <v>238</v>
      </c>
    </row>
    <row r="208" spans="1:10" x14ac:dyDescent="0.35">
      <c r="A208" s="1">
        <v>44269</v>
      </c>
      <c r="B208" s="2">
        <f>YEAR(Sales_Dataset[[#This Row],[Order Date]])</f>
        <v>2021</v>
      </c>
      <c r="C208" s="2">
        <f>MONTH(Sales_Dataset[[#This Row],[Order Date]])</f>
        <v>3</v>
      </c>
      <c r="D208" t="s">
        <v>75</v>
      </c>
      <c r="E208" t="s">
        <v>9</v>
      </c>
      <c r="F208" t="s">
        <v>10</v>
      </c>
      <c r="G208" t="s">
        <v>11</v>
      </c>
      <c r="H208" s="5">
        <v>1591</v>
      </c>
      <c r="I208">
        <v>5</v>
      </c>
      <c r="J208" s="5">
        <v>727</v>
      </c>
    </row>
    <row r="209" spans="1:10" x14ac:dyDescent="0.35">
      <c r="A209" s="1">
        <v>44273</v>
      </c>
      <c r="B209" s="2">
        <f>YEAR(Sales_Dataset[[#This Row],[Order Date]])</f>
        <v>2021</v>
      </c>
      <c r="C209" s="2">
        <f>MONTH(Sales_Dataset[[#This Row],[Order Date]])</f>
        <v>3</v>
      </c>
      <c r="D209" t="s">
        <v>94</v>
      </c>
      <c r="E209" t="s">
        <v>22</v>
      </c>
      <c r="F209" t="s">
        <v>24</v>
      </c>
      <c r="G209" t="s">
        <v>51</v>
      </c>
      <c r="H209" s="5">
        <v>2478</v>
      </c>
      <c r="I209">
        <v>12</v>
      </c>
      <c r="J209" s="5">
        <v>92</v>
      </c>
    </row>
    <row r="210" spans="1:10" x14ac:dyDescent="0.35">
      <c r="A210" s="1">
        <v>44276</v>
      </c>
      <c r="B210" s="2">
        <f>YEAR(Sales_Dataset[[#This Row],[Order Date]])</f>
        <v>2021</v>
      </c>
      <c r="C210" s="2">
        <f>MONTH(Sales_Dataset[[#This Row],[Order Date]])</f>
        <v>3</v>
      </c>
      <c r="D210" t="s">
        <v>798</v>
      </c>
      <c r="E210" t="s">
        <v>47</v>
      </c>
      <c r="F210" t="s">
        <v>18</v>
      </c>
      <c r="G210" t="s">
        <v>19</v>
      </c>
      <c r="H210" s="5">
        <v>7870</v>
      </c>
      <c r="I210">
        <v>15</v>
      </c>
      <c r="J210" s="5">
        <v>1057</v>
      </c>
    </row>
    <row r="211" spans="1:10" x14ac:dyDescent="0.35">
      <c r="A211" s="1">
        <v>44279</v>
      </c>
      <c r="B211" s="2">
        <f>YEAR(Sales_Dataset[[#This Row],[Order Date]])</f>
        <v>2021</v>
      </c>
      <c r="C211" s="2">
        <f>MONTH(Sales_Dataset[[#This Row],[Order Date]])</f>
        <v>3</v>
      </c>
      <c r="D211" t="s">
        <v>149</v>
      </c>
      <c r="E211" t="s">
        <v>9</v>
      </c>
      <c r="F211" t="s">
        <v>10</v>
      </c>
      <c r="G211" t="s">
        <v>16</v>
      </c>
      <c r="H211" s="5">
        <v>7759</v>
      </c>
      <c r="I211">
        <v>17</v>
      </c>
      <c r="J211" s="5">
        <v>3741</v>
      </c>
    </row>
    <row r="212" spans="1:10" x14ac:dyDescent="0.35">
      <c r="A212" s="1">
        <v>44279</v>
      </c>
      <c r="B212" s="2">
        <f>YEAR(Sales_Dataset[[#This Row],[Order Date]])</f>
        <v>2021</v>
      </c>
      <c r="C212" s="2">
        <f>MONTH(Sales_Dataset[[#This Row],[Order Date]])</f>
        <v>3</v>
      </c>
      <c r="D212" t="s">
        <v>149</v>
      </c>
      <c r="E212" t="s">
        <v>9</v>
      </c>
      <c r="F212" t="s">
        <v>18</v>
      </c>
      <c r="G212" t="s">
        <v>30</v>
      </c>
      <c r="H212" s="5">
        <v>7521</v>
      </c>
      <c r="I212">
        <v>16</v>
      </c>
      <c r="J212" s="5">
        <v>3457</v>
      </c>
    </row>
    <row r="213" spans="1:10" x14ac:dyDescent="0.35">
      <c r="A213" s="1">
        <v>44279</v>
      </c>
      <c r="B213" s="2">
        <f>YEAR(Sales_Dataset[[#This Row],[Order Date]])</f>
        <v>2021</v>
      </c>
      <c r="C213" s="2">
        <f>MONTH(Sales_Dataset[[#This Row],[Order Date]])</f>
        <v>3</v>
      </c>
      <c r="D213" t="s">
        <v>292</v>
      </c>
      <c r="E213" t="s">
        <v>9</v>
      </c>
      <c r="F213" t="s">
        <v>10</v>
      </c>
      <c r="G213" t="s">
        <v>11</v>
      </c>
      <c r="H213" s="5">
        <v>7856</v>
      </c>
      <c r="I213">
        <v>17</v>
      </c>
      <c r="J213" s="5">
        <v>3699</v>
      </c>
    </row>
    <row r="214" spans="1:10" x14ac:dyDescent="0.35">
      <c r="A214" s="1">
        <v>44279</v>
      </c>
      <c r="B214" s="2">
        <f>YEAR(Sales_Dataset[[#This Row],[Order Date]])</f>
        <v>2021</v>
      </c>
      <c r="C214" s="2">
        <f>MONTH(Sales_Dataset[[#This Row],[Order Date]])</f>
        <v>3</v>
      </c>
      <c r="D214" t="s">
        <v>292</v>
      </c>
      <c r="E214" t="s">
        <v>9</v>
      </c>
      <c r="F214" t="s">
        <v>18</v>
      </c>
      <c r="G214" t="s">
        <v>19</v>
      </c>
      <c r="H214" s="5">
        <v>1165</v>
      </c>
      <c r="I214">
        <v>3</v>
      </c>
      <c r="J214" s="5">
        <v>51</v>
      </c>
    </row>
    <row r="215" spans="1:10" x14ac:dyDescent="0.35">
      <c r="A215" s="1">
        <v>44280</v>
      </c>
      <c r="B215" s="2">
        <f>YEAR(Sales_Dataset[[#This Row],[Order Date]])</f>
        <v>2021</v>
      </c>
      <c r="C215" s="2">
        <f>MONTH(Sales_Dataset[[#This Row],[Order Date]])</f>
        <v>3</v>
      </c>
      <c r="D215" t="s">
        <v>155</v>
      </c>
      <c r="E215" t="s">
        <v>15</v>
      </c>
      <c r="F215" t="s">
        <v>10</v>
      </c>
      <c r="G215" t="s">
        <v>23</v>
      </c>
      <c r="H215" s="5">
        <v>6447</v>
      </c>
      <c r="I215">
        <v>20</v>
      </c>
      <c r="J215" s="5">
        <v>3079</v>
      </c>
    </row>
    <row r="216" spans="1:10" x14ac:dyDescent="0.35">
      <c r="A216" s="1">
        <v>44280</v>
      </c>
      <c r="B216" s="2">
        <f>YEAR(Sales_Dataset[[#This Row],[Order Date]])</f>
        <v>2021</v>
      </c>
      <c r="C216" s="2">
        <f>MONTH(Sales_Dataset[[#This Row],[Order Date]])</f>
        <v>3</v>
      </c>
      <c r="D216" t="s">
        <v>155</v>
      </c>
      <c r="E216" t="s">
        <v>15</v>
      </c>
      <c r="F216" t="s">
        <v>10</v>
      </c>
      <c r="G216" t="s">
        <v>11</v>
      </c>
      <c r="H216" s="5">
        <v>8947</v>
      </c>
      <c r="I216">
        <v>6</v>
      </c>
      <c r="J216" s="5">
        <v>2807</v>
      </c>
    </row>
    <row r="217" spans="1:10" x14ac:dyDescent="0.35">
      <c r="A217" s="1">
        <v>44283</v>
      </c>
      <c r="B217" s="2">
        <f>YEAR(Sales_Dataset[[#This Row],[Order Date]])</f>
        <v>2021</v>
      </c>
      <c r="C217" s="2">
        <f>MONTH(Sales_Dataset[[#This Row],[Order Date]])</f>
        <v>3</v>
      </c>
      <c r="D217" t="s">
        <v>585</v>
      </c>
      <c r="E217" t="s">
        <v>47</v>
      </c>
      <c r="F217" t="s">
        <v>18</v>
      </c>
      <c r="G217" t="s">
        <v>30</v>
      </c>
      <c r="H217" s="5">
        <v>9002</v>
      </c>
      <c r="I217">
        <v>2</v>
      </c>
      <c r="J217" s="5">
        <v>4197</v>
      </c>
    </row>
    <row r="218" spans="1:10" x14ac:dyDescent="0.35">
      <c r="A218" s="1">
        <v>44287</v>
      </c>
      <c r="B218" s="2">
        <f>YEAR(Sales_Dataset[[#This Row],[Order Date]])</f>
        <v>2021</v>
      </c>
      <c r="C218" s="2">
        <f>MONTH(Sales_Dataset[[#This Row],[Order Date]])</f>
        <v>4</v>
      </c>
      <c r="D218" t="s">
        <v>694</v>
      </c>
      <c r="E218" t="s">
        <v>36</v>
      </c>
      <c r="F218" t="s">
        <v>10</v>
      </c>
      <c r="G218" t="s">
        <v>41</v>
      </c>
      <c r="H218" s="5">
        <v>9090</v>
      </c>
      <c r="I218">
        <v>16</v>
      </c>
      <c r="J218" s="5">
        <v>3098</v>
      </c>
    </row>
    <row r="219" spans="1:10" x14ac:dyDescent="0.35">
      <c r="A219" s="1">
        <v>44287</v>
      </c>
      <c r="B219" s="2">
        <f>YEAR(Sales_Dataset[[#This Row],[Order Date]])</f>
        <v>2021</v>
      </c>
      <c r="C219" s="2">
        <f>MONTH(Sales_Dataset[[#This Row],[Order Date]])</f>
        <v>4</v>
      </c>
      <c r="D219" t="s">
        <v>694</v>
      </c>
      <c r="E219" t="s">
        <v>36</v>
      </c>
      <c r="F219" t="s">
        <v>10</v>
      </c>
      <c r="G219" t="s">
        <v>11</v>
      </c>
      <c r="H219" s="5">
        <v>851</v>
      </c>
      <c r="I219">
        <v>11</v>
      </c>
      <c r="J219" s="5">
        <v>356</v>
      </c>
    </row>
    <row r="220" spans="1:10" x14ac:dyDescent="0.35">
      <c r="A220" s="1">
        <v>44289</v>
      </c>
      <c r="B220" s="2">
        <f>YEAR(Sales_Dataset[[#This Row],[Order Date]])</f>
        <v>2021</v>
      </c>
      <c r="C220" s="2">
        <f>MONTH(Sales_Dataset[[#This Row],[Order Date]])</f>
        <v>4</v>
      </c>
      <c r="D220" t="s">
        <v>407</v>
      </c>
      <c r="E220" t="s">
        <v>36</v>
      </c>
      <c r="F220" t="s">
        <v>18</v>
      </c>
      <c r="G220" t="s">
        <v>19</v>
      </c>
      <c r="H220" s="5">
        <v>4369</v>
      </c>
      <c r="I220">
        <v>13</v>
      </c>
      <c r="J220" s="5">
        <v>584</v>
      </c>
    </row>
    <row r="221" spans="1:10" x14ac:dyDescent="0.35">
      <c r="A221" s="1">
        <v>44289</v>
      </c>
      <c r="B221" s="2">
        <f>YEAR(Sales_Dataset[[#This Row],[Order Date]])</f>
        <v>2021</v>
      </c>
      <c r="C221" s="2">
        <f>MONTH(Sales_Dataset[[#This Row],[Order Date]])</f>
        <v>4</v>
      </c>
      <c r="D221" t="s">
        <v>803</v>
      </c>
      <c r="E221" t="s">
        <v>9</v>
      </c>
      <c r="F221" t="s">
        <v>10</v>
      </c>
      <c r="G221" t="s">
        <v>11</v>
      </c>
      <c r="H221" s="5">
        <v>6499</v>
      </c>
      <c r="I221">
        <v>18</v>
      </c>
      <c r="J221" s="5">
        <v>2189</v>
      </c>
    </row>
    <row r="222" spans="1:10" x14ac:dyDescent="0.35">
      <c r="A222" s="1">
        <v>44290</v>
      </c>
      <c r="B222" s="2">
        <f>YEAR(Sales_Dataset[[#This Row],[Order Date]])</f>
        <v>2021</v>
      </c>
      <c r="C222" s="2">
        <f>MONTH(Sales_Dataset[[#This Row],[Order Date]])</f>
        <v>4</v>
      </c>
      <c r="D222" t="s">
        <v>321</v>
      </c>
      <c r="E222" t="s">
        <v>36</v>
      </c>
      <c r="F222" t="s">
        <v>18</v>
      </c>
      <c r="G222" t="s">
        <v>39</v>
      </c>
      <c r="H222" s="5">
        <v>8243</v>
      </c>
      <c r="I222">
        <v>15</v>
      </c>
      <c r="J222" s="5">
        <v>1346</v>
      </c>
    </row>
    <row r="223" spans="1:10" x14ac:dyDescent="0.35">
      <c r="A223" s="1">
        <v>44291</v>
      </c>
      <c r="B223" s="2">
        <f>YEAR(Sales_Dataset[[#This Row],[Order Date]])</f>
        <v>2021</v>
      </c>
      <c r="C223" s="2">
        <f>MONTH(Sales_Dataset[[#This Row],[Order Date]])</f>
        <v>4</v>
      </c>
      <c r="D223" t="s">
        <v>44</v>
      </c>
      <c r="E223" t="s">
        <v>36</v>
      </c>
      <c r="F223" t="s">
        <v>24</v>
      </c>
      <c r="G223" t="s">
        <v>25</v>
      </c>
      <c r="H223" s="5">
        <v>6139</v>
      </c>
      <c r="I223">
        <v>10</v>
      </c>
      <c r="J223" s="5">
        <v>451</v>
      </c>
    </row>
    <row r="224" spans="1:10" x14ac:dyDescent="0.35">
      <c r="A224" s="1">
        <v>44291</v>
      </c>
      <c r="B224" s="2">
        <f>YEAR(Sales_Dataset[[#This Row],[Order Date]])</f>
        <v>2021</v>
      </c>
      <c r="C224" s="2">
        <f>MONTH(Sales_Dataset[[#This Row],[Order Date]])</f>
        <v>4</v>
      </c>
      <c r="D224" t="s">
        <v>44</v>
      </c>
      <c r="E224" t="s">
        <v>36</v>
      </c>
      <c r="F224" t="s">
        <v>24</v>
      </c>
      <c r="G224" t="s">
        <v>27</v>
      </c>
      <c r="H224" s="5">
        <v>8636</v>
      </c>
      <c r="I224">
        <v>3</v>
      </c>
      <c r="J224" s="5">
        <v>3192</v>
      </c>
    </row>
    <row r="225" spans="1:10" x14ac:dyDescent="0.35">
      <c r="A225" s="1">
        <v>44291</v>
      </c>
      <c r="B225" s="2">
        <f>YEAR(Sales_Dataset[[#This Row],[Order Date]])</f>
        <v>2021</v>
      </c>
      <c r="C225" s="2">
        <f>MONTH(Sales_Dataset[[#This Row],[Order Date]])</f>
        <v>4</v>
      </c>
      <c r="D225" t="s">
        <v>44</v>
      </c>
      <c r="E225" t="s">
        <v>36</v>
      </c>
      <c r="F225" t="s">
        <v>24</v>
      </c>
      <c r="G225" t="s">
        <v>31</v>
      </c>
      <c r="H225" s="5">
        <v>4439</v>
      </c>
      <c r="I225">
        <v>19</v>
      </c>
      <c r="J225" s="5">
        <v>1712</v>
      </c>
    </row>
    <row r="226" spans="1:10" x14ac:dyDescent="0.35">
      <c r="A226" s="1">
        <v>44298</v>
      </c>
      <c r="B226" s="2">
        <f>YEAR(Sales_Dataset[[#This Row],[Order Date]])</f>
        <v>2021</v>
      </c>
      <c r="C226" s="2">
        <f>MONTH(Sales_Dataset[[#This Row],[Order Date]])</f>
        <v>4</v>
      </c>
      <c r="D226" t="s">
        <v>637</v>
      </c>
      <c r="E226" t="s">
        <v>13</v>
      </c>
      <c r="F226" t="s">
        <v>24</v>
      </c>
      <c r="G226" t="s">
        <v>31</v>
      </c>
      <c r="H226" s="5">
        <v>9921</v>
      </c>
      <c r="I226">
        <v>15</v>
      </c>
      <c r="J226" s="5">
        <v>1451</v>
      </c>
    </row>
    <row r="227" spans="1:10" x14ac:dyDescent="0.35">
      <c r="A227" s="1">
        <v>44305</v>
      </c>
      <c r="B227" s="2">
        <f>YEAR(Sales_Dataset[[#This Row],[Order Date]])</f>
        <v>2021</v>
      </c>
      <c r="C227" s="2">
        <f>MONTH(Sales_Dataset[[#This Row],[Order Date]])</f>
        <v>4</v>
      </c>
      <c r="D227" t="s">
        <v>630</v>
      </c>
      <c r="E227" t="s">
        <v>15</v>
      </c>
      <c r="F227" t="s">
        <v>10</v>
      </c>
      <c r="G227" t="s">
        <v>16</v>
      </c>
      <c r="H227" s="5">
        <v>2737</v>
      </c>
      <c r="I227">
        <v>3</v>
      </c>
      <c r="J227" s="5">
        <v>1253</v>
      </c>
    </row>
    <row r="228" spans="1:10" x14ac:dyDescent="0.35">
      <c r="A228" s="1">
        <v>44313</v>
      </c>
      <c r="B228" s="2">
        <f>YEAR(Sales_Dataset[[#This Row],[Order Date]])</f>
        <v>2021</v>
      </c>
      <c r="C228" s="2">
        <f>MONTH(Sales_Dataset[[#This Row],[Order Date]])</f>
        <v>4</v>
      </c>
      <c r="D228" t="s">
        <v>548</v>
      </c>
      <c r="E228" t="s">
        <v>22</v>
      </c>
      <c r="F228" t="s">
        <v>10</v>
      </c>
      <c r="G228" t="s">
        <v>11</v>
      </c>
      <c r="H228" s="5">
        <v>9335</v>
      </c>
      <c r="I228">
        <v>11</v>
      </c>
      <c r="J228" s="5">
        <v>557</v>
      </c>
    </row>
    <row r="229" spans="1:10" x14ac:dyDescent="0.35">
      <c r="A229" s="1">
        <v>44316</v>
      </c>
      <c r="B229" s="2">
        <f>YEAR(Sales_Dataset[[#This Row],[Order Date]])</f>
        <v>2021</v>
      </c>
      <c r="C229" s="2">
        <f>MONTH(Sales_Dataset[[#This Row],[Order Date]])</f>
        <v>4</v>
      </c>
      <c r="D229" t="s">
        <v>186</v>
      </c>
      <c r="E229" t="s">
        <v>15</v>
      </c>
      <c r="F229" t="s">
        <v>18</v>
      </c>
      <c r="G229" t="s">
        <v>30</v>
      </c>
      <c r="H229" s="5">
        <v>3348</v>
      </c>
      <c r="I229">
        <v>5</v>
      </c>
      <c r="J229" s="5">
        <v>568</v>
      </c>
    </row>
    <row r="230" spans="1:10" x14ac:dyDescent="0.35">
      <c r="A230" s="1">
        <v>44316</v>
      </c>
      <c r="B230" s="2">
        <f>YEAR(Sales_Dataset[[#This Row],[Order Date]])</f>
        <v>2021</v>
      </c>
      <c r="C230" s="2">
        <f>MONTH(Sales_Dataset[[#This Row],[Order Date]])</f>
        <v>4</v>
      </c>
      <c r="D230" t="s">
        <v>186</v>
      </c>
      <c r="E230" t="s">
        <v>15</v>
      </c>
      <c r="F230" t="s">
        <v>18</v>
      </c>
      <c r="G230" t="s">
        <v>19</v>
      </c>
      <c r="H230" s="5">
        <v>8856</v>
      </c>
      <c r="I230">
        <v>9</v>
      </c>
      <c r="J230" s="5">
        <v>2020</v>
      </c>
    </row>
    <row r="231" spans="1:10" x14ac:dyDescent="0.35">
      <c r="A231" s="1">
        <v>44319</v>
      </c>
      <c r="B231" s="2">
        <f>YEAR(Sales_Dataset[[#This Row],[Order Date]])</f>
        <v>2021</v>
      </c>
      <c r="C231" s="2">
        <f>MONTH(Sales_Dataset[[#This Row],[Order Date]])</f>
        <v>5</v>
      </c>
      <c r="D231" t="s">
        <v>408</v>
      </c>
      <c r="E231" t="s">
        <v>22</v>
      </c>
      <c r="F231" t="s">
        <v>24</v>
      </c>
      <c r="G231" t="s">
        <v>31</v>
      </c>
      <c r="H231" s="5">
        <v>5632</v>
      </c>
      <c r="I231">
        <v>20</v>
      </c>
      <c r="J231" s="5">
        <v>2358</v>
      </c>
    </row>
    <row r="232" spans="1:10" x14ac:dyDescent="0.35">
      <c r="A232" s="1">
        <v>44323</v>
      </c>
      <c r="B232" s="2">
        <f>YEAR(Sales_Dataset[[#This Row],[Order Date]])</f>
        <v>2021</v>
      </c>
      <c r="C232" s="2">
        <f>MONTH(Sales_Dataset[[#This Row],[Order Date]])</f>
        <v>5</v>
      </c>
      <c r="D232" t="s">
        <v>379</v>
      </c>
      <c r="E232" t="s">
        <v>15</v>
      </c>
      <c r="F232" t="s">
        <v>24</v>
      </c>
      <c r="G232" t="s">
        <v>31</v>
      </c>
      <c r="H232" s="5">
        <v>8982</v>
      </c>
      <c r="I232">
        <v>17</v>
      </c>
      <c r="J232" s="5">
        <v>448</v>
      </c>
    </row>
    <row r="233" spans="1:10" x14ac:dyDescent="0.35">
      <c r="A233" s="1">
        <v>44323</v>
      </c>
      <c r="B233" s="2">
        <f>YEAR(Sales_Dataset[[#This Row],[Order Date]])</f>
        <v>2021</v>
      </c>
      <c r="C233" s="2">
        <f>MONTH(Sales_Dataset[[#This Row],[Order Date]])</f>
        <v>5</v>
      </c>
      <c r="D233" t="s">
        <v>379</v>
      </c>
      <c r="E233" t="s">
        <v>15</v>
      </c>
      <c r="F233" t="s">
        <v>18</v>
      </c>
      <c r="G233" t="s">
        <v>33</v>
      </c>
      <c r="H233" s="5">
        <v>4826</v>
      </c>
      <c r="I233">
        <v>5</v>
      </c>
      <c r="J233" s="5">
        <v>562</v>
      </c>
    </row>
    <row r="234" spans="1:10" x14ac:dyDescent="0.35">
      <c r="A234" s="1">
        <v>44324</v>
      </c>
      <c r="B234" s="2">
        <f>YEAR(Sales_Dataset[[#This Row],[Order Date]])</f>
        <v>2021</v>
      </c>
      <c r="C234" s="2">
        <f>MONTH(Sales_Dataset[[#This Row],[Order Date]])</f>
        <v>5</v>
      </c>
      <c r="D234" t="s">
        <v>50</v>
      </c>
      <c r="E234" t="s">
        <v>47</v>
      </c>
      <c r="F234" t="s">
        <v>10</v>
      </c>
      <c r="G234" t="s">
        <v>41</v>
      </c>
      <c r="H234" s="5">
        <v>4051</v>
      </c>
      <c r="I234">
        <v>12</v>
      </c>
      <c r="J234" s="5">
        <v>1848</v>
      </c>
    </row>
    <row r="235" spans="1:10" x14ac:dyDescent="0.35">
      <c r="A235" s="1">
        <v>44324</v>
      </c>
      <c r="B235" s="2">
        <f>YEAR(Sales_Dataset[[#This Row],[Order Date]])</f>
        <v>2021</v>
      </c>
      <c r="C235" s="2">
        <f>MONTH(Sales_Dataset[[#This Row],[Order Date]])</f>
        <v>5</v>
      </c>
      <c r="D235" t="s">
        <v>50</v>
      </c>
      <c r="E235" t="s">
        <v>47</v>
      </c>
      <c r="F235" t="s">
        <v>24</v>
      </c>
      <c r="G235" t="s">
        <v>51</v>
      </c>
      <c r="H235" s="5">
        <v>5011</v>
      </c>
      <c r="I235">
        <v>11</v>
      </c>
      <c r="J235" s="5">
        <v>866</v>
      </c>
    </row>
    <row r="236" spans="1:10" x14ac:dyDescent="0.35">
      <c r="A236" s="1">
        <v>44328</v>
      </c>
      <c r="B236" s="2">
        <f>YEAR(Sales_Dataset[[#This Row],[Order Date]])</f>
        <v>2021</v>
      </c>
      <c r="C236" s="2">
        <f>MONTH(Sales_Dataset[[#This Row],[Order Date]])</f>
        <v>5</v>
      </c>
      <c r="D236" t="s">
        <v>174</v>
      </c>
      <c r="E236" t="s">
        <v>15</v>
      </c>
      <c r="F236" t="s">
        <v>10</v>
      </c>
      <c r="G236" t="s">
        <v>41</v>
      </c>
      <c r="H236" s="5">
        <v>2962</v>
      </c>
      <c r="I236">
        <v>1</v>
      </c>
      <c r="J236" s="5">
        <v>1470</v>
      </c>
    </row>
    <row r="237" spans="1:10" x14ac:dyDescent="0.35">
      <c r="A237" s="1">
        <v>44328</v>
      </c>
      <c r="B237" s="2">
        <f>YEAR(Sales_Dataset[[#This Row],[Order Date]])</f>
        <v>2021</v>
      </c>
      <c r="C237" s="2">
        <f>MONTH(Sales_Dataset[[#This Row],[Order Date]])</f>
        <v>5</v>
      </c>
      <c r="D237" t="s">
        <v>174</v>
      </c>
      <c r="E237" t="s">
        <v>15</v>
      </c>
      <c r="F237" t="s">
        <v>10</v>
      </c>
      <c r="G237" t="s">
        <v>16</v>
      </c>
      <c r="H237" s="5">
        <v>7131</v>
      </c>
      <c r="I237">
        <v>12</v>
      </c>
      <c r="J237" s="5">
        <v>718</v>
      </c>
    </row>
    <row r="238" spans="1:10" x14ac:dyDescent="0.35">
      <c r="A238" s="1">
        <v>44328</v>
      </c>
      <c r="B238" s="2">
        <f>YEAR(Sales_Dataset[[#This Row],[Order Date]])</f>
        <v>2021</v>
      </c>
      <c r="C238" s="2">
        <f>MONTH(Sales_Dataset[[#This Row],[Order Date]])</f>
        <v>5</v>
      </c>
      <c r="D238" t="s">
        <v>174</v>
      </c>
      <c r="E238" t="s">
        <v>15</v>
      </c>
      <c r="F238" t="s">
        <v>18</v>
      </c>
      <c r="G238" t="s">
        <v>30</v>
      </c>
      <c r="H238" s="5">
        <v>4200</v>
      </c>
      <c r="I238">
        <v>10</v>
      </c>
      <c r="J238" s="5">
        <v>855</v>
      </c>
    </row>
    <row r="239" spans="1:10" x14ac:dyDescent="0.35">
      <c r="A239" s="1">
        <v>44331</v>
      </c>
      <c r="B239" s="2">
        <f>YEAR(Sales_Dataset[[#This Row],[Order Date]])</f>
        <v>2021</v>
      </c>
      <c r="C239" s="2">
        <f>MONTH(Sales_Dataset[[#This Row],[Order Date]])</f>
        <v>5</v>
      </c>
      <c r="D239" t="s">
        <v>750</v>
      </c>
      <c r="E239" t="s">
        <v>47</v>
      </c>
      <c r="F239" t="s">
        <v>18</v>
      </c>
      <c r="G239" t="s">
        <v>30</v>
      </c>
      <c r="H239" s="5">
        <v>9909</v>
      </c>
      <c r="I239">
        <v>18</v>
      </c>
      <c r="J239" s="5">
        <v>2999</v>
      </c>
    </row>
    <row r="240" spans="1:10" x14ac:dyDescent="0.35">
      <c r="A240" s="1">
        <v>44332</v>
      </c>
      <c r="B240" s="2">
        <f>YEAR(Sales_Dataset[[#This Row],[Order Date]])</f>
        <v>2021</v>
      </c>
      <c r="C240" s="2">
        <f>MONTH(Sales_Dataset[[#This Row],[Order Date]])</f>
        <v>5</v>
      </c>
      <c r="D240" t="s">
        <v>550</v>
      </c>
      <c r="E240" t="s">
        <v>47</v>
      </c>
      <c r="F240" t="s">
        <v>18</v>
      </c>
      <c r="G240" t="s">
        <v>39</v>
      </c>
      <c r="H240" s="5">
        <v>4706</v>
      </c>
      <c r="I240">
        <v>11</v>
      </c>
      <c r="J240" s="5">
        <v>594</v>
      </c>
    </row>
    <row r="241" spans="1:10" x14ac:dyDescent="0.35">
      <c r="A241" s="1">
        <v>44332</v>
      </c>
      <c r="B241" s="2">
        <f>YEAR(Sales_Dataset[[#This Row],[Order Date]])</f>
        <v>2021</v>
      </c>
      <c r="C241" s="2">
        <f>MONTH(Sales_Dataset[[#This Row],[Order Date]])</f>
        <v>5</v>
      </c>
      <c r="D241" t="s">
        <v>550</v>
      </c>
      <c r="E241" t="s">
        <v>47</v>
      </c>
      <c r="F241" t="s">
        <v>18</v>
      </c>
      <c r="G241" t="s">
        <v>30</v>
      </c>
      <c r="H241" s="5">
        <v>6584</v>
      </c>
      <c r="I241">
        <v>6</v>
      </c>
      <c r="J241" s="5">
        <v>371</v>
      </c>
    </row>
    <row r="242" spans="1:10" x14ac:dyDescent="0.35">
      <c r="A242" s="1">
        <v>44334</v>
      </c>
      <c r="B242" s="2">
        <f>YEAR(Sales_Dataset[[#This Row],[Order Date]])</f>
        <v>2021</v>
      </c>
      <c r="C242" s="2">
        <f>MONTH(Sales_Dataset[[#This Row],[Order Date]])</f>
        <v>5</v>
      </c>
      <c r="D242" t="s">
        <v>100</v>
      </c>
      <c r="E242" t="s">
        <v>47</v>
      </c>
      <c r="F242" t="s">
        <v>10</v>
      </c>
      <c r="G242" t="s">
        <v>16</v>
      </c>
      <c r="H242" s="5">
        <v>9538</v>
      </c>
      <c r="I242">
        <v>20</v>
      </c>
      <c r="J242" s="5">
        <v>3158</v>
      </c>
    </row>
    <row r="243" spans="1:10" x14ac:dyDescent="0.35">
      <c r="A243" s="1">
        <v>44334</v>
      </c>
      <c r="B243" s="2">
        <f>YEAR(Sales_Dataset[[#This Row],[Order Date]])</f>
        <v>2021</v>
      </c>
      <c r="C243" s="2">
        <f>MONTH(Sales_Dataset[[#This Row],[Order Date]])</f>
        <v>5</v>
      </c>
      <c r="D243" t="s">
        <v>100</v>
      </c>
      <c r="E243" t="s">
        <v>47</v>
      </c>
      <c r="F243" t="s">
        <v>24</v>
      </c>
      <c r="G243" t="s">
        <v>27</v>
      </c>
      <c r="H243" s="5">
        <v>9035</v>
      </c>
      <c r="I243">
        <v>14</v>
      </c>
      <c r="J243" s="5">
        <v>1227</v>
      </c>
    </row>
    <row r="244" spans="1:10" x14ac:dyDescent="0.35">
      <c r="A244" s="1">
        <v>44341</v>
      </c>
      <c r="B244" s="2">
        <f>YEAR(Sales_Dataset[[#This Row],[Order Date]])</f>
        <v>2021</v>
      </c>
      <c r="C244" s="2">
        <f>MONTH(Sales_Dataset[[#This Row],[Order Date]])</f>
        <v>5</v>
      </c>
      <c r="D244" t="s">
        <v>816</v>
      </c>
      <c r="E244" t="s">
        <v>22</v>
      </c>
      <c r="F244" t="s">
        <v>24</v>
      </c>
      <c r="G244" t="s">
        <v>25</v>
      </c>
      <c r="H244" s="5">
        <v>815</v>
      </c>
      <c r="I244">
        <v>14</v>
      </c>
      <c r="J244" s="5">
        <v>54</v>
      </c>
    </row>
    <row r="245" spans="1:10" x14ac:dyDescent="0.35">
      <c r="A245" s="1">
        <v>44343</v>
      </c>
      <c r="B245" s="2">
        <f>YEAR(Sales_Dataset[[#This Row],[Order Date]])</f>
        <v>2021</v>
      </c>
      <c r="C245" s="2">
        <f>MONTH(Sales_Dataset[[#This Row],[Order Date]])</f>
        <v>5</v>
      </c>
      <c r="D245" t="s">
        <v>494</v>
      </c>
      <c r="E245" t="s">
        <v>47</v>
      </c>
      <c r="F245" t="s">
        <v>10</v>
      </c>
      <c r="G245" t="s">
        <v>23</v>
      </c>
      <c r="H245" s="5">
        <v>6061</v>
      </c>
      <c r="I245">
        <v>19</v>
      </c>
      <c r="J245" s="5">
        <v>2121</v>
      </c>
    </row>
    <row r="246" spans="1:10" x14ac:dyDescent="0.35">
      <c r="A246" s="1">
        <v>44343</v>
      </c>
      <c r="B246" s="2">
        <f>YEAR(Sales_Dataset[[#This Row],[Order Date]])</f>
        <v>2021</v>
      </c>
      <c r="C246" s="2">
        <f>MONTH(Sales_Dataset[[#This Row],[Order Date]])</f>
        <v>5</v>
      </c>
      <c r="D246" t="s">
        <v>598</v>
      </c>
      <c r="E246" t="s">
        <v>22</v>
      </c>
      <c r="F246" t="s">
        <v>18</v>
      </c>
      <c r="G246" t="s">
        <v>30</v>
      </c>
      <c r="H246" s="5">
        <v>8861</v>
      </c>
      <c r="I246">
        <v>19</v>
      </c>
      <c r="J246" s="5">
        <v>3381</v>
      </c>
    </row>
    <row r="247" spans="1:10" x14ac:dyDescent="0.35">
      <c r="A247" s="1">
        <v>44343</v>
      </c>
      <c r="B247" s="2">
        <f>YEAR(Sales_Dataset[[#This Row],[Order Date]])</f>
        <v>2021</v>
      </c>
      <c r="C247" s="2">
        <f>MONTH(Sales_Dataset[[#This Row],[Order Date]])</f>
        <v>5</v>
      </c>
      <c r="D247" t="s">
        <v>617</v>
      </c>
      <c r="E247" t="s">
        <v>13</v>
      </c>
      <c r="F247" t="s">
        <v>24</v>
      </c>
      <c r="G247" t="s">
        <v>25</v>
      </c>
      <c r="H247" s="5">
        <v>8572</v>
      </c>
      <c r="I247">
        <v>8</v>
      </c>
      <c r="J247" s="5">
        <v>2041</v>
      </c>
    </row>
    <row r="248" spans="1:10" x14ac:dyDescent="0.35">
      <c r="A248" s="1">
        <v>44343</v>
      </c>
      <c r="B248" s="2">
        <f>YEAR(Sales_Dataset[[#This Row],[Order Date]])</f>
        <v>2021</v>
      </c>
      <c r="C248" s="2">
        <f>MONTH(Sales_Dataset[[#This Row],[Order Date]])</f>
        <v>5</v>
      </c>
      <c r="D248" t="s">
        <v>617</v>
      </c>
      <c r="E248" t="s">
        <v>13</v>
      </c>
      <c r="F248" t="s">
        <v>10</v>
      </c>
      <c r="G248" t="s">
        <v>16</v>
      </c>
      <c r="H248" s="5">
        <v>8059</v>
      </c>
      <c r="I248">
        <v>10</v>
      </c>
      <c r="J248" s="5">
        <v>1834</v>
      </c>
    </row>
    <row r="249" spans="1:10" x14ac:dyDescent="0.35">
      <c r="A249" s="1">
        <v>44344</v>
      </c>
      <c r="B249" s="2">
        <f>YEAR(Sales_Dataset[[#This Row],[Order Date]])</f>
        <v>2021</v>
      </c>
      <c r="C249" s="2">
        <f>MONTH(Sales_Dataset[[#This Row],[Order Date]])</f>
        <v>5</v>
      </c>
      <c r="D249" t="s">
        <v>144</v>
      </c>
      <c r="E249" t="s">
        <v>22</v>
      </c>
      <c r="F249" t="s">
        <v>24</v>
      </c>
      <c r="G249" t="s">
        <v>31</v>
      </c>
      <c r="H249" s="5">
        <v>3657</v>
      </c>
      <c r="I249">
        <v>1</v>
      </c>
      <c r="J249" s="5">
        <v>163</v>
      </c>
    </row>
    <row r="250" spans="1:10" x14ac:dyDescent="0.35">
      <c r="A250" s="1">
        <v>44344</v>
      </c>
      <c r="B250" s="2">
        <f>YEAR(Sales_Dataset[[#This Row],[Order Date]])</f>
        <v>2021</v>
      </c>
      <c r="C250" s="2">
        <f>MONTH(Sales_Dataset[[#This Row],[Order Date]])</f>
        <v>5</v>
      </c>
      <c r="D250" t="s">
        <v>764</v>
      </c>
      <c r="E250" t="s">
        <v>47</v>
      </c>
      <c r="F250" t="s">
        <v>10</v>
      </c>
      <c r="G250" t="s">
        <v>23</v>
      </c>
      <c r="H250" s="5">
        <v>5557</v>
      </c>
      <c r="I250">
        <v>17</v>
      </c>
      <c r="J250" s="5">
        <v>2114</v>
      </c>
    </row>
    <row r="251" spans="1:10" x14ac:dyDescent="0.35">
      <c r="A251" s="1">
        <v>44349</v>
      </c>
      <c r="B251" s="2">
        <f>YEAR(Sales_Dataset[[#This Row],[Order Date]])</f>
        <v>2021</v>
      </c>
      <c r="C251" s="2">
        <f>MONTH(Sales_Dataset[[#This Row],[Order Date]])</f>
        <v>6</v>
      </c>
      <c r="D251" t="s">
        <v>662</v>
      </c>
      <c r="E251" t="s">
        <v>47</v>
      </c>
      <c r="F251" t="s">
        <v>18</v>
      </c>
      <c r="G251" t="s">
        <v>33</v>
      </c>
      <c r="H251" s="5">
        <v>4172</v>
      </c>
      <c r="I251">
        <v>5</v>
      </c>
      <c r="J251" s="5">
        <v>235</v>
      </c>
    </row>
    <row r="252" spans="1:10" x14ac:dyDescent="0.35">
      <c r="A252" s="1">
        <v>44350</v>
      </c>
      <c r="B252" s="2">
        <f>YEAR(Sales_Dataset[[#This Row],[Order Date]])</f>
        <v>2021</v>
      </c>
      <c r="C252" s="2">
        <f>MONTH(Sales_Dataset[[#This Row],[Order Date]])</f>
        <v>6</v>
      </c>
      <c r="D252" t="s">
        <v>725</v>
      </c>
      <c r="E252" t="s">
        <v>36</v>
      </c>
      <c r="F252" t="s">
        <v>24</v>
      </c>
      <c r="G252" t="s">
        <v>51</v>
      </c>
      <c r="H252" s="5">
        <v>6724</v>
      </c>
      <c r="I252">
        <v>19</v>
      </c>
      <c r="J252" s="5">
        <v>1539</v>
      </c>
    </row>
    <row r="253" spans="1:10" x14ac:dyDescent="0.35">
      <c r="A253" s="1">
        <v>44351</v>
      </c>
      <c r="B253" s="2">
        <f>YEAR(Sales_Dataset[[#This Row],[Order Date]])</f>
        <v>2021</v>
      </c>
      <c r="C253" s="2">
        <f>MONTH(Sales_Dataset[[#This Row],[Order Date]])</f>
        <v>6</v>
      </c>
      <c r="D253" t="s">
        <v>282</v>
      </c>
      <c r="E253" t="s">
        <v>9</v>
      </c>
      <c r="F253" t="s">
        <v>18</v>
      </c>
      <c r="G253" t="s">
        <v>39</v>
      </c>
      <c r="H253" s="5">
        <v>874</v>
      </c>
      <c r="I253">
        <v>15</v>
      </c>
      <c r="J253" s="5">
        <v>235</v>
      </c>
    </row>
    <row r="254" spans="1:10" x14ac:dyDescent="0.35">
      <c r="A254" s="1">
        <v>44352</v>
      </c>
      <c r="B254" s="2">
        <f>YEAR(Sales_Dataset[[#This Row],[Order Date]])</f>
        <v>2021</v>
      </c>
      <c r="C254" s="2">
        <f>MONTH(Sales_Dataset[[#This Row],[Order Date]])</f>
        <v>6</v>
      </c>
      <c r="D254" t="s">
        <v>707</v>
      </c>
      <c r="E254" t="s">
        <v>9</v>
      </c>
      <c r="F254" t="s">
        <v>10</v>
      </c>
      <c r="G254" t="s">
        <v>11</v>
      </c>
      <c r="H254" s="5">
        <v>4163</v>
      </c>
      <c r="I254">
        <v>14</v>
      </c>
      <c r="J254" s="5">
        <v>897</v>
      </c>
    </row>
    <row r="255" spans="1:10" x14ac:dyDescent="0.35">
      <c r="A255" s="1">
        <v>44353</v>
      </c>
      <c r="B255" s="2">
        <f>YEAR(Sales_Dataset[[#This Row],[Order Date]])</f>
        <v>2021</v>
      </c>
      <c r="C255" s="2">
        <f>MONTH(Sales_Dataset[[#This Row],[Order Date]])</f>
        <v>6</v>
      </c>
      <c r="D255" t="s">
        <v>317</v>
      </c>
      <c r="E255" t="s">
        <v>36</v>
      </c>
      <c r="F255" t="s">
        <v>10</v>
      </c>
      <c r="G255" t="s">
        <v>11</v>
      </c>
      <c r="H255" s="5">
        <v>6355</v>
      </c>
      <c r="I255">
        <v>15</v>
      </c>
      <c r="J255" s="5">
        <v>1335</v>
      </c>
    </row>
    <row r="256" spans="1:10" x14ac:dyDescent="0.35">
      <c r="A256" s="1">
        <v>44354</v>
      </c>
      <c r="B256" s="2">
        <f>YEAR(Sales_Dataset[[#This Row],[Order Date]])</f>
        <v>2021</v>
      </c>
      <c r="C256" s="2">
        <f>MONTH(Sales_Dataset[[#This Row],[Order Date]])</f>
        <v>6</v>
      </c>
      <c r="D256" t="s">
        <v>512</v>
      </c>
      <c r="E256" t="s">
        <v>9</v>
      </c>
      <c r="F256" t="s">
        <v>18</v>
      </c>
      <c r="G256" t="s">
        <v>19</v>
      </c>
      <c r="H256" s="5">
        <v>1626</v>
      </c>
      <c r="I256">
        <v>15</v>
      </c>
      <c r="J256" s="5">
        <v>258</v>
      </c>
    </row>
    <row r="257" spans="1:10" x14ac:dyDescent="0.35">
      <c r="A257" s="1">
        <v>44358</v>
      </c>
      <c r="B257" s="2">
        <f>YEAR(Sales_Dataset[[#This Row],[Order Date]])</f>
        <v>2021</v>
      </c>
      <c r="C257" s="2">
        <f>MONTH(Sales_Dataset[[#This Row],[Order Date]])</f>
        <v>6</v>
      </c>
      <c r="D257" t="s">
        <v>330</v>
      </c>
      <c r="E257" t="s">
        <v>47</v>
      </c>
      <c r="F257" t="s">
        <v>10</v>
      </c>
      <c r="G257" t="s">
        <v>11</v>
      </c>
      <c r="H257" s="5">
        <v>6934</v>
      </c>
      <c r="I257">
        <v>1</v>
      </c>
      <c r="J257" s="5">
        <v>1226</v>
      </c>
    </row>
    <row r="258" spans="1:10" x14ac:dyDescent="0.35">
      <c r="A258" s="1">
        <v>44358</v>
      </c>
      <c r="B258" s="2">
        <f>YEAR(Sales_Dataset[[#This Row],[Order Date]])</f>
        <v>2021</v>
      </c>
      <c r="C258" s="2">
        <f>MONTH(Sales_Dataset[[#This Row],[Order Date]])</f>
        <v>6</v>
      </c>
      <c r="D258" t="s">
        <v>760</v>
      </c>
      <c r="E258" t="s">
        <v>22</v>
      </c>
      <c r="F258" t="s">
        <v>24</v>
      </c>
      <c r="G258" t="s">
        <v>31</v>
      </c>
      <c r="H258" s="5">
        <v>1314</v>
      </c>
      <c r="I258">
        <v>8</v>
      </c>
      <c r="J258" s="5">
        <v>457</v>
      </c>
    </row>
    <row r="259" spans="1:10" x14ac:dyDescent="0.35">
      <c r="A259" s="1">
        <v>44360</v>
      </c>
      <c r="B259" s="2">
        <f>YEAR(Sales_Dataset[[#This Row],[Order Date]])</f>
        <v>2021</v>
      </c>
      <c r="C259" s="2">
        <f>MONTH(Sales_Dataset[[#This Row],[Order Date]])</f>
        <v>6</v>
      </c>
      <c r="D259" t="s">
        <v>397</v>
      </c>
      <c r="E259" t="s">
        <v>9</v>
      </c>
      <c r="F259" t="s">
        <v>18</v>
      </c>
      <c r="G259" t="s">
        <v>39</v>
      </c>
      <c r="H259" s="5">
        <v>9144</v>
      </c>
      <c r="I259">
        <v>18</v>
      </c>
      <c r="J259" s="5">
        <v>2220</v>
      </c>
    </row>
    <row r="260" spans="1:10" x14ac:dyDescent="0.35">
      <c r="A260" s="1">
        <v>44360</v>
      </c>
      <c r="B260" s="2">
        <f>YEAR(Sales_Dataset[[#This Row],[Order Date]])</f>
        <v>2021</v>
      </c>
      <c r="C260" s="2">
        <f>MONTH(Sales_Dataset[[#This Row],[Order Date]])</f>
        <v>6</v>
      </c>
      <c r="D260" t="s">
        <v>765</v>
      </c>
      <c r="E260" t="s">
        <v>36</v>
      </c>
      <c r="F260" t="s">
        <v>10</v>
      </c>
      <c r="G260" t="s">
        <v>11</v>
      </c>
      <c r="H260" s="5">
        <v>3436</v>
      </c>
      <c r="I260">
        <v>3</v>
      </c>
      <c r="J260" s="5">
        <v>933</v>
      </c>
    </row>
    <row r="261" spans="1:10" x14ac:dyDescent="0.35">
      <c r="A261" s="1">
        <v>44361</v>
      </c>
      <c r="B261" s="2">
        <f>YEAR(Sales_Dataset[[#This Row],[Order Date]])</f>
        <v>2021</v>
      </c>
      <c r="C261" s="2">
        <f>MONTH(Sales_Dataset[[#This Row],[Order Date]])</f>
        <v>6</v>
      </c>
      <c r="D261" t="s">
        <v>823</v>
      </c>
      <c r="E261" t="s">
        <v>22</v>
      </c>
      <c r="F261" t="s">
        <v>24</v>
      </c>
      <c r="G261" t="s">
        <v>51</v>
      </c>
      <c r="H261" s="5">
        <v>6093</v>
      </c>
      <c r="I261">
        <v>9</v>
      </c>
      <c r="J261" s="5">
        <v>3042</v>
      </c>
    </row>
    <row r="262" spans="1:10" x14ac:dyDescent="0.35">
      <c r="A262" s="1">
        <v>44362</v>
      </c>
      <c r="B262" s="2">
        <f>YEAR(Sales_Dataset[[#This Row],[Order Date]])</f>
        <v>2021</v>
      </c>
      <c r="C262" s="2">
        <f>MONTH(Sales_Dataset[[#This Row],[Order Date]])</f>
        <v>6</v>
      </c>
      <c r="D262" t="s">
        <v>208</v>
      </c>
      <c r="E262" t="s">
        <v>9</v>
      </c>
      <c r="F262" t="s">
        <v>10</v>
      </c>
      <c r="G262" t="s">
        <v>23</v>
      </c>
      <c r="H262" s="5">
        <v>9204</v>
      </c>
      <c r="I262">
        <v>16</v>
      </c>
      <c r="J262" s="5">
        <v>3289</v>
      </c>
    </row>
    <row r="263" spans="1:10" x14ac:dyDescent="0.35">
      <c r="A263" s="1">
        <v>44362</v>
      </c>
      <c r="B263" s="2">
        <f>YEAR(Sales_Dataset[[#This Row],[Order Date]])</f>
        <v>2021</v>
      </c>
      <c r="C263" s="2">
        <f>MONTH(Sales_Dataset[[#This Row],[Order Date]])</f>
        <v>6</v>
      </c>
      <c r="D263" t="s">
        <v>208</v>
      </c>
      <c r="E263" t="s">
        <v>9</v>
      </c>
      <c r="F263" t="s">
        <v>18</v>
      </c>
      <c r="G263" t="s">
        <v>33</v>
      </c>
      <c r="H263" s="5">
        <v>9894</v>
      </c>
      <c r="I263">
        <v>20</v>
      </c>
      <c r="J263" s="5">
        <v>3698</v>
      </c>
    </row>
    <row r="264" spans="1:10" x14ac:dyDescent="0.35">
      <c r="A264" s="1">
        <v>44364</v>
      </c>
      <c r="B264" s="2">
        <f>YEAR(Sales_Dataset[[#This Row],[Order Date]])</f>
        <v>2021</v>
      </c>
      <c r="C264" s="2">
        <f>MONTH(Sales_Dataset[[#This Row],[Order Date]])</f>
        <v>6</v>
      </c>
      <c r="D264" t="s">
        <v>698</v>
      </c>
      <c r="E264" t="s">
        <v>22</v>
      </c>
      <c r="F264" t="s">
        <v>24</v>
      </c>
      <c r="G264" t="s">
        <v>51</v>
      </c>
      <c r="H264" s="5">
        <v>2695</v>
      </c>
      <c r="I264">
        <v>15</v>
      </c>
      <c r="J264" s="5">
        <v>914</v>
      </c>
    </row>
    <row r="265" spans="1:10" x14ac:dyDescent="0.35">
      <c r="A265" s="1">
        <v>44365</v>
      </c>
      <c r="B265" s="2">
        <f>YEAR(Sales_Dataset[[#This Row],[Order Date]])</f>
        <v>2021</v>
      </c>
      <c r="C265" s="2">
        <f>MONTH(Sales_Dataset[[#This Row],[Order Date]])</f>
        <v>6</v>
      </c>
      <c r="D265" t="s">
        <v>58</v>
      </c>
      <c r="E265" t="s">
        <v>47</v>
      </c>
      <c r="F265" t="s">
        <v>24</v>
      </c>
      <c r="G265" t="s">
        <v>25</v>
      </c>
      <c r="H265" s="5">
        <v>3090</v>
      </c>
      <c r="I265">
        <v>6</v>
      </c>
      <c r="J265" s="5">
        <v>573</v>
      </c>
    </row>
    <row r="266" spans="1:10" x14ac:dyDescent="0.35">
      <c r="A266" s="1">
        <v>44365</v>
      </c>
      <c r="B266" s="2">
        <f>YEAR(Sales_Dataset[[#This Row],[Order Date]])</f>
        <v>2021</v>
      </c>
      <c r="C266" s="2">
        <f>MONTH(Sales_Dataset[[#This Row],[Order Date]])</f>
        <v>6</v>
      </c>
      <c r="D266" t="s">
        <v>58</v>
      </c>
      <c r="E266" t="s">
        <v>47</v>
      </c>
      <c r="F266" t="s">
        <v>10</v>
      </c>
      <c r="G266" t="s">
        <v>16</v>
      </c>
      <c r="H266" s="5">
        <v>9683</v>
      </c>
      <c r="I266">
        <v>5</v>
      </c>
      <c r="J266" s="5">
        <v>1014</v>
      </c>
    </row>
    <row r="267" spans="1:10" x14ac:dyDescent="0.35">
      <c r="A267" s="1">
        <v>44374</v>
      </c>
      <c r="B267" s="2">
        <f>YEAR(Sales_Dataset[[#This Row],[Order Date]])</f>
        <v>2021</v>
      </c>
      <c r="C267" s="2">
        <f>MONTH(Sales_Dataset[[#This Row],[Order Date]])</f>
        <v>6</v>
      </c>
      <c r="D267" t="s">
        <v>399</v>
      </c>
      <c r="E267" t="s">
        <v>22</v>
      </c>
      <c r="F267" t="s">
        <v>24</v>
      </c>
      <c r="G267" t="s">
        <v>31</v>
      </c>
      <c r="H267" s="5">
        <v>7169</v>
      </c>
      <c r="I267">
        <v>11</v>
      </c>
      <c r="J267" s="5">
        <v>2385</v>
      </c>
    </row>
    <row r="268" spans="1:10" x14ac:dyDescent="0.35">
      <c r="A268" s="1">
        <v>44374</v>
      </c>
      <c r="B268" s="2">
        <f>YEAR(Sales_Dataset[[#This Row],[Order Date]])</f>
        <v>2021</v>
      </c>
      <c r="C268" s="2">
        <f>MONTH(Sales_Dataset[[#This Row],[Order Date]])</f>
        <v>6</v>
      </c>
      <c r="D268" t="s">
        <v>399</v>
      </c>
      <c r="E268" t="s">
        <v>22</v>
      </c>
      <c r="F268" t="s">
        <v>24</v>
      </c>
      <c r="G268" t="s">
        <v>27</v>
      </c>
      <c r="H268" s="5">
        <v>4046</v>
      </c>
      <c r="I268">
        <v>18</v>
      </c>
      <c r="J268" s="5">
        <v>417</v>
      </c>
    </row>
    <row r="269" spans="1:10" x14ac:dyDescent="0.35">
      <c r="A269" s="1">
        <v>44382</v>
      </c>
      <c r="B269" s="2">
        <f>YEAR(Sales_Dataset[[#This Row],[Order Date]])</f>
        <v>2021</v>
      </c>
      <c r="C269" s="2">
        <f>MONTH(Sales_Dataset[[#This Row],[Order Date]])</f>
        <v>7</v>
      </c>
      <c r="D269" t="s">
        <v>767</v>
      </c>
      <c r="E269" t="s">
        <v>22</v>
      </c>
      <c r="F269" t="s">
        <v>18</v>
      </c>
      <c r="G269" t="s">
        <v>33</v>
      </c>
      <c r="H269" s="5">
        <v>7620</v>
      </c>
      <c r="I269">
        <v>4</v>
      </c>
      <c r="J269" s="5">
        <v>125</v>
      </c>
    </row>
    <row r="270" spans="1:10" x14ac:dyDescent="0.35">
      <c r="A270" s="1">
        <v>44385</v>
      </c>
      <c r="B270" s="2">
        <f>YEAR(Sales_Dataset[[#This Row],[Order Date]])</f>
        <v>2021</v>
      </c>
      <c r="C270" s="2">
        <f>MONTH(Sales_Dataset[[#This Row],[Order Date]])</f>
        <v>7</v>
      </c>
      <c r="D270" t="s">
        <v>189</v>
      </c>
      <c r="E270" t="s">
        <v>15</v>
      </c>
      <c r="F270" t="s">
        <v>18</v>
      </c>
      <c r="G270" t="s">
        <v>33</v>
      </c>
      <c r="H270" s="5">
        <v>869</v>
      </c>
      <c r="I270">
        <v>14</v>
      </c>
      <c r="J270" s="5">
        <v>373</v>
      </c>
    </row>
    <row r="271" spans="1:10" x14ac:dyDescent="0.35">
      <c r="A271" s="1">
        <v>44385</v>
      </c>
      <c r="B271" s="2">
        <f>YEAR(Sales_Dataset[[#This Row],[Order Date]])</f>
        <v>2021</v>
      </c>
      <c r="C271" s="2">
        <f>MONTH(Sales_Dataset[[#This Row],[Order Date]])</f>
        <v>7</v>
      </c>
      <c r="D271" t="s">
        <v>189</v>
      </c>
      <c r="E271" t="s">
        <v>15</v>
      </c>
      <c r="F271" t="s">
        <v>24</v>
      </c>
      <c r="G271" t="s">
        <v>51</v>
      </c>
      <c r="H271" s="5">
        <v>1486</v>
      </c>
      <c r="I271">
        <v>7</v>
      </c>
      <c r="J271" s="5">
        <v>114</v>
      </c>
    </row>
    <row r="272" spans="1:10" x14ac:dyDescent="0.35">
      <c r="A272" s="1">
        <v>44386</v>
      </c>
      <c r="B272" s="2">
        <f>YEAR(Sales_Dataset[[#This Row],[Order Date]])</f>
        <v>2021</v>
      </c>
      <c r="C272" s="2">
        <f>MONTH(Sales_Dataset[[#This Row],[Order Date]])</f>
        <v>7</v>
      </c>
      <c r="D272" t="s">
        <v>487</v>
      </c>
      <c r="E272" t="s">
        <v>13</v>
      </c>
      <c r="F272" t="s">
        <v>18</v>
      </c>
      <c r="G272" t="s">
        <v>30</v>
      </c>
      <c r="H272" s="5">
        <v>8042</v>
      </c>
      <c r="I272">
        <v>15</v>
      </c>
      <c r="J272" s="5">
        <v>936</v>
      </c>
    </row>
    <row r="273" spans="1:10" x14ac:dyDescent="0.35">
      <c r="A273" s="1">
        <v>44389</v>
      </c>
      <c r="B273" s="2">
        <f>YEAR(Sales_Dataset[[#This Row],[Order Date]])</f>
        <v>2021</v>
      </c>
      <c r="C273" s="2">
        <f>MONTH(Sales_Dataset[[#This Row],[Order Date]])</f>
        <v>7</v>
      </c>
      <c r="D273" t="s">
        <v>819</v>
      </c>
      <c r="E273" t="s">
        <v>47</v>
      </c>
      <c r="F273" t="s">
        <v>10</v>
      </c>
      <c r="G273" t="s">
        <v>11</v>
      </c>
      <c r="H273" s="5">
        <v>8962</v>
      </c>
      <c r="I273">
        <v>18</v>
      </c>
      <c r="J273" s="5">
        <v>2444</v>
      </c>
    </row>
    <row r="274" spans="1:10" x14ac:dyDescent="0.35">
      <c r="A274" s="1">
        <v>44395</v>
      </c>
      <c r="B274" s="2">
        <f>YEAR(Sales_Dataset[[#This Row],[Order Date]])</f>
        <v>2021</v>
      </c>
      <c r="C274" s="2">
        <f>MONTH(Sales_Dataset[[#This Row],[Order Date]])</f>
        <v>7</v>
      </c>
      <c r="D274" t="s">
        <v>231</v>
      </c>
      <c r="E274" t="s">
        <v>36</v>
      </c>
      <c r="F274" t="s">
        <v>18</v>
      </c>
      <c r="G274" t="s">
        <v>19</v>
      </c>
      <c r="H274" s="5">
        <v>9905</v>
      </c>
      <c r="I274">
        <v>17</v>
      </c>
      <c r="J274" s="5">
        <v>633</v>
      </c>
    </row>
    <row r="275" spans="1:10" x14ac:dyDescent="0.35">
      <c r="A275" s="1">
        <v>44395</v>
      </c>
      <c r="B275" s="2">
        <f>YEAR(Sales_Dataset[[#This Row],[Order Date]])</f>
        <v>2021</v>
      </c>
      <c r="C275" s="2">
        <f>MONTH(Sales_Dataset[[#This Row],[Order Date]])</f>
        <v>7</v>
      </c>
      <c r="D275" t="s">
        <v>631</v>
      </c>
      <c r="E275" t="s">
        <v>36</v>
      </c>
      <c r="F275" t="s">
        <v>18</v>
      </c>
      <c r="G275" t="s">
        <v>33</v>
      </c>
      <c r="H275" s="5">
        <v>8194</v>
      </c>
      <c r="I275">
        <v>6</v>
      </c>
      <c r="J275" s="5">
        <v>2881</v>
      </c>
    </row>
    <row r="276" spans="1:10" x14ac:dyDescent="0.35">
      <c r="A276" s="1">
        <v>44398</v>
      </c>
      <c r="B276" s="2">
        <f>YEAR(Sales_Dataset[[#This Row],[Order Date]])</f>
        <v>2021</v>
      </c>
      <c r="C276" s="2">
        <f>MONTH(Sales_Dataset[[#This Row],[Order Date]])</f>
        <v>7</v>
      </c>
      <c r="D276" t="s">
        <v>649</v>
      </c>
      <c r="E276" t="s">
        <v>22</v>
      </c>
      <c r="F276" t="s">
        <v>18</v>
      </c>
      <c r="G276" t="s">
        <v>30</v>
      </c>
      <c r="H276" s="5">
        <v>3747</v>
      </c>
      <c r="I276">
        <v>5</v>
      </c>
      <c r="J276" s="5">
        <v>410</v>
      </c>
    </row>
    <row r="277" spans="1:10" x14ac:dyDescent="0.35">
      <c r="A277" s="1">
        <v>44398</v>
      </c>
      <c r="B277" s="2">
        <f>YEAR(Sales_Dataset[[#This Row],[Order Date]])</f>
        <v>2021</v>
      </c>
      <c r="C277" s="2">
        <f>MONTH(Sales_Dataset[[#This Row],[Order Date]])</f>
        <v>7</v>
      </c>
      <c r="D277" t="s">
        <v>649</v>
      </c>
      <c r="E277" t="s">
        <v>22</v>
      </c>
      <c r="F277" t="s">
        <v>18</v>
      </c>
      <c r="G277" t="s">
        <v>39</v>
      </c>
      <c r="H277" s="5">
        <v>3194</v>
      </c>
      <c r="I277">
        <v>4</v>
      </c>
      <c r="J277" s="5">
        <v>534</v>
      </c>
    </row>
    <row r="278" spans="1:10" x14ac:dyDescent="0.35">
      <c r="A278" s="1">
        <v>44402</v>
      </c>
      <c r="B278" s="2">
        <f>YEAR(Sales_Dataset[[#This Row],[Order Date]])</f>
        <v>2021</v>
      </c>
      <c r="C278" s="2">
        <f>MONTH(Sales_Dataset[[#This Row],[Order Date]])</f>
        <v>7</v>
      </c>
      <c r="D278" t="s">
        <v>14</v>
      </c>
      <c r="E278" t="s">
        <v>15</v>
      </c>
      <c r="F278" t="s">
        <v>10</v>
      </c>
      <c r="G278" t="s">
        <v>11</v>
      </c>
      <c r="H278" s="5">
        <v>9726</v>
      </c>
      <c r="I278">
        <v>5</v>
      </c>
      <c r="J278" s="5">
        <v>1275</v>
      </c>
    </row>
    <row r="279" spans="1:10" x14ac:dyDescent="0.35">
      <c r="A279" s="1">
        <v>44402</v>
      </c>
      <c r="B279" s="2">
        <f>YEAR(Sales_Dataset[[#This Row],[Order Date]])</f>
        <v>2021</v>
      </c>
      <c r="C279" s="2">
        <f>MONTH(Sales_Dataset[[#This Row],[Order Date]])</f>
        <v>7</v>
      </c>
      <c r="D279" t="s">
        <v>14</v>
      </c>
      <c r="E279" t="s">
        <v>15</v>
      </c>
      <c r="F279" t="s">
        <v>10</v>
      </c>
      <c r="G279" t="s">
        <v>16</v>
      </c>
      <c r="H279" s="5">
        <v>4975</v>
      </c>
      <c r="I279">
        <v>14</v>
      </c>
      <c r="J279" s="5">
        <v>1330</v>
      </c>
    </row>
    <row r="280" spans="1:10" x14ac:dyDescent="0.35">
      <c r="A280" s="1">
        <v>44402</v>
      </c>
      <c r="B280" s="2">
        <f>YEAR(Sales_Dataset[[#This Row],[Order Date]])</f>
        <v>2021</v>
      </c>
      <c r="C280" s="2">
        <f>MONTH(Sales_Dataset[[#This Row],[Order Date]])</f>
        <v>7</v>
      </c>
      <c r="D280" t="s">
        <v>359</v>
      </c>
      <c r="E280" t="s">
        <v>22</v>
      </c>
      <c r="F280" t="s">
        <v>10</v>
      </c>
      <c r="G280" t="s">
        <v>23</v>
      </c>
      <c r="H280" s="5">
        <v>4688</v>
      </c>
      <c r="I280">
        <v>3</v>
      </c>
      <c r="J280" s="5">
        <v>1841</v>
      </c>
    </row>
    <row r="281" spans="1:10" x14ac:dyDescent="0.35">
      <c r="A281" s="1">
        <v>44408</v>
      </c>
      <c r="B281" s="2">
        <f>YEAR(Sales_Dataset[[#This Row],[Order Date]])</f>
        <v>2021</v>
      </c>
      <c r="C281" s="2">
        <f>MONTH(Sales_Dataset[[#This Row],[Order Date]])</f>
        <v>7</v>
      </c>
      <c r="D281" t="s">
        <v>243</v>
      </c>
      <c r="E281" t="s">
        <v>36</v>
      </c>
      <c r="F281" t="s">
        <v>10</v>
      </c>
      <c r="G281" t="s">
        <v>16</v>
      </c>
      <c r="H281" s="5">
        <v>4591</v>
      </c>
      <c r="I281">
        <v>19</v>
      </c>
      <c r="J281" s="5">
        <v>1941</v>
      </c>
    </row>
    <row r="282" spans="1:10" x14ac:dyDescent="0.35">
      <c r="A282" s="1">
        <v>44408</v>
      </c>
      <c r="B282" s="2">
        <f>YEAR(Sales_Dataset[[#This Row],[Order Date]])</f>
        <v>2021</v>
      </c>
      <c r="C282" s="2">
        <f>MONTH(Sales_Dataset[[#This Row],[Order Date]])</f>
        <v>7</v>
      </c>
      <c r="D282" t="s">
        <v>243</v>
      </c>
      <c r="E282" t="s">
        <v>36</v>
      </c>
      <c r="F282" t="s">
        <v>18</v>
      </c>
      <c r="G282" t="s">
        <v>19</v>
      </c>
      <c r="H282" s="5">
        <v>9612</v>
      </c>
      <c r="I282">
        <v>17</v>
      </c>
      <c r="J282" s="5">
        <v>2572</v>
      </c>
    </row>
    <row r="283" spans="1:10" x14ac:dyDescent="0.35">
      <c r="A283" s="1">
        <v>44410</v>
      </c>
      <c r="B283" s="2">
        <f>YEAR(Sales_Dataset[[#This Row],[Order Date]])</f>
        <v>2021</v>
      </c>
      <c r="C283" s="2">
        <f>MONTH(Sales_Dataset[[#This Row],[Order Date]])</f>
        <v>8</v>
      </c>
      <c r="D283" t="s">
        <v>773</v>
      </c>
      <c r="E283" t="s">
        <v>13</v>
      </c>
      <c r="F283" t="s">
        <v>18</v>
      </c>
      <c r="G283" t="s">
        <v>30</v>
      </c>
      <c r="H283" s="5">
        <v>537</v>
      </c>
      <c r="I283">
        <v>20</v>
      </c>
      <c r="J283" s="5">
        <v>142</v>
      </c>
    </row>
    <row r="284" spans="1:10" x14ac:dyDescent="0.35">
      <c r="A284" s="1">
        <v>44414</v>
      </c>
      <c r="B284" s="2">
        <f>YEAR(Sales_Dataset[[#This Row],[Order Date]])</f>
        <v>2021</v>
      </c>
      <c r="C284" s="2">
        <f>MONTH(Sales_Dataset[[#This Row],[Order Date]])</f>
        <v>8</v>
      </c>
      <c r="D284" t="s">
        <v>700</v>
      </c>
      <c r="E284" t="s">
        <v>15</v>
      </c>
      <c r="F284" t="s">
        <v>18</v>
      </c>
      <c r="G284" t="s">
        <v>19</v>
      </c>
      <c r="H284" s="5">
        <v>2284</v>
      </c>
      <c r="I284">
        <v>20</v>
      </c>
      <c r="J284" s="5">
        <v>149</v>
      </c>
    </row>
    <row r="285" spans="1:10" x14ac:dyDescent="0.35">
      <c r="A285" s="1">
        <v>44417</v>
      </c>
      <c r="B285" s="2">
        <f>YEAR(Sales_Dataset[[#This Row],[Order Date]])</f>
        <v>2021</v>
      </c>
      <c r="C285" s="2">
        <f>MONTH(Sales_Dataset[[#This Row],[Order Date]])</f>
        <v>8</v>
      </c>
      <c r="D285" t="s">
        <v>381</v>
      </c>
      <c r="E285" t="s">
        <v>9</v>
      </c>
      <c r="F285" t="s">
        <v>18</v>
      </c>
      <c r="G285" t="s">
        <v>30</v>
      </c>
      <c r="H285" s="5">
        <v>3665</v>
      </c>
      <c r="I285">
        <v>4</v>
      </c>
      <c r="J285" s="5">
        <v>802</v>
      </c>
    </row>
    <row r="286" spans="1:10" x14ac:dyDescent="0.35">
      <c r="A286" s="1">
        <v>44418</v>
      </c>
      <c r="B286" s="2">
        <f>YEAR(Sales_Dataset[[#This Row],[Order Date]])</f>
        <v>2021</v>
      </c>
      <c r="C286" s="2">
        <f>MONTH(Sales_Dataset[[#This Row],[Order Date]])</f>
        <v>8</v>
      </c>
      <c r="D286" t="s">
        <v>365</v>
      </c>
      <c r="E286" t="s">
        <v>9</v>
      </c>
      <c r="F286" t="s">
        <v>24</v>
      </c>
      <c r="G286" t="s">
        <v>31</v>
      </c>
      <c r="H286" s="5">
        <v>4314</v>
      </c>
      <c r="I286">
        <v>6</v>
      </c>
      <c r="J286" s="5">
        <v>1453</v>
      </c>
    </row>
    <row r="287" spans="1:10" x14ac:dyDescent="0.35">
      <c r="A287" s="1">
        <v>44420</v>
      </c>
      <c r="B287" s="2">
        <f>YEAR(Sales_Dataset[[#This Row],[Order Date]])</f>
        <v>2021</v>
      </c>
      <c r="C287" s="2">
        <f>MONTH(Sales_Dataset[[#This Row],[Order Date]])</f>
        <v>8</v>
      </c>
      <c r="D287" t="s">
        <v>137</v>
      </c>
      <c r="E287" t="s">
        <v>13</v>
      </c>
      <c r="F287" t="s">
        <v>24</v>
      </c>
      <c r="G287" t="s">
        <v>25</v>
      </c>
      <c r="H287" s="5">
        <v>4920</v>
      </c>
      <c r="I287">
        <v>12</v>
      </c>
      <c r="J287" s="5">
        <v>775</v>
      </c>
    </row>
    <row r="288" spans="1:10" x14ac:dyDescent="0.35">
      <c r="A288" s="1">
        <v>44420</v>
      </c>
      <c r="B288" s="2">
        <f>YEAR(Sales_Dataset[[#This Row],[Order Date]])</f>
        <v>2021</v>
      </c>
      <c r="C288" s="2">
        <f>MONTH(Sales_Dataset[[#This Row],[Order Date]])</f>
        <v>8</v>
      </c>
      <c r="D288" t="s">
        <v>137</v>
      </c>
      <c r="E288" t="s">
        <v>13</v>
      </c>
      <c r="F288" t="s">
        <v>24</v>
      </c>
      <c r="G288" t="s">
        <v>51</v>
      </c>
      <c r="H288" s="5">
        <v>9078</v>
      </c>
      <c r="I288">
        <v>15</v>
      </c>
      <c r="J288" s="5">
        <v>2213</v>
      </c>
    </row>
    <row r="289" spans="1:10" x14ac:dyDescent="0.35">
      <c r="A289" s="1">
        <v>44420</v>
      </c>
      <c r="B289" s="2">
        <f>YEAR(Sales_Dataset[[#This Row],[Order Date]])</f>
        <v>2021</v>
      </c>
      <c r="C289" s="2">
        <f>MONTH(Sales_Dataset[[#This Row],[Order Date]])</f>
        <v>8</v>
      </c>
      <c r="D289" t="s">
        <v>540</v>
      </c>
      <c r="E289" t="s">
        <v>15</v>
      </c>
      <c r="F289" t="s">
        <v>24</v>
      </c>
      <c r="G289" t="s">
        <v>31</v>
      </c>
      <c r="H289" s="5">
        <v>6951</v>
      </c>
      <c r="I289">
        <v>10</v>
      </c>
      <c r="J289" s="5">
        <v>164</v>
      </c>
    </row>
    <row r="290" spans="1:10" x14ac:dyDescent="0.35">
      <c r="A290" s="1">
        <v>44421</v>
      </c>
      <c r="B290" s="2">
        <f>YEAR(Sales_Dataset[[#This Row],[Order Date]])</f>
        <v>2021</v>
      </c>
      <c r="C290" s="2">
        <f>MONTH(Sales_Dataset[[#This Row],[Order Date]])</f>
        <v>8</v>
      </c>
      <c r="D290" t="s">
        <v>566</v>
      </c>
      <c r="E290" t="s">
        <v>15</v>
      </c>
      <c r="F290" t="s">
        <v>24</v>
      </c>
      <c r="G290" t="s">
        <v>51</v>
      </c>
      <c r="H290" s="5">
        <v>2401</v>
      </c>
      <c r="I290">
        <v>10</v>
      </c>
      <c r="J290" s="5">
        <v>1163</v>
      </c>
    </row>
    <row r="291" spans="1:10" x14ac:dyDescent="0.35">
      <c r="A291" s="1">
        <v>44421</v>
      </c>
      <c r="B291" s="2">
        <f>YEAR(Sales_Dataset[[#This Row],[Order Date]])</f>
        <v>2021</v>
      </c>
      <c r="C291" s="2">
        <f>MONTH(Sales_Dataset[[#This Row],[Order Date]])</f>
        <v>8</v>
      </c>
      <c r="D291" t="s">
        <v>566</v>
      </c>
      <c r="E291" t="s">
        <v>15</v>
      </c>
      <c r="F291" t="s">
        <v>10</v>
      </c>
      <c r="G291" t="s">
        <v>41</v>
      </c>
      <c r="H291" s="5">
        <v>1045</v>
      </c>
      <c r="I291">
        <v>11</v>
      </c>
      <c r="J291" s="5">
        <v>267</v>
      </c>
    </row>
    <row r="292" spans="1:10" x14ac:dyDescent="0.35">
      <c r="A292" s="1">
        <v>44425</v>
      </c>
      <c r="B292" s="2">
        <f>YEAR(Sales_Dataset[[#This Row],[Order Date]])</f>
        <v>2021</v>
      </c>
      <c r="C292" s="2">
        <f>MONTH(Sales_Dataset[[#This Row],[Order Date]])</f>
        <v>8</v>
      </c>
      <c r="D292" t="s">
        <v>80</v>
      </c>
      <c r="E292" t="s">
        <v>9</v>
      </c>
      <c r="F292" t="s">
        <v>24</v>
      </c>
      <c r="G292" t="s">
        <v>25</v>
      </c>
      <c r="H292" s="5">
        <v>5578</v>
      </c>
      <c r="I292">
        <v>16</v>
      </c>
      <c r="J292" s="5">
        <v>277</v>
      </c>
    </row>
    <row r="293" spans="1:10" x14ac:dyDescent="0.35">
      <c r="A293" s="1">
        <v>44425</v>
      </c>
      <c r="B293" s="2">
        <f>YEAR(Sales_Dataset[[#This Row],[Order Date]])</f>
        <v>2021</v>
      </c>
      <c r="C293" s="2">
        <f>MONTH(Sales_Dataset[[#This Row],[Order Date]])</f>
        <v>8</v>
      </c>
      <c r="D293" t="s">
        <v>538</v>
      </c>
      <c r="E293" t="s">
        <v>9</v>
      </c>
      <c r="F293" t="s">
        <v>10</v>
      </c>
      <c r="G293" t="s">
        <v>41</v>
      </c>
      <c r="H293" s="5">
        <v>8762</v>
      </c>
      <c r="I293">
        <v>1</v>
      </c>
      <c r="J293" s="5">
        <v>3502</v>
      </c>
    </row>
    <row r="294" spans="1:10" x14ac:dyDescent="0.35">
      <c r="A294" s="1">
        <v>44425</v>
      </c>
      <c r="B294" s="2">
        <f>YEAR(Sales_Dataset[[#This Row],[Order Date]])</f>
        <v>2021</v>
      </c>
      <c r="C294" s="2">
        <f>MONTH(Sales_Dataset[[#This Row],[Order Date]])</f>
        <v>8</v>
      </c>
      <c r="D294" t="s">
        <v>609</v>
      </c>
      <c r="E294" t="s">
        <v>36</v>
      </c>
      <c r="F294" t="s">
        <v>24</v>
      </c>
      <c r="G294" t="s">
        <v>25</v>
      </c>
      <c r="H294" s="5">
        <v>1786</v>
      </c>
      <c r="I294">
        <v>4</v>
      </c>
      <c r="J294" s="5">
        <v>224</v>
      </c>
    </row>
    <row r="295" spans="1:10" x14ac:dyDescent="0.35">
      <c r="A295" s="1">
        <v>44427</v>
      </c>
      <c r="B295" s="2">
        <f>YEAR(Sales_Dataset[[#This Row],[Order Date]])</f>
        <v>2021</v>
      </c>
      <c r="C295" s="2">
        <f>MONTH(Sales_Dataset[[#This Row],[Order Date]])</f>
        <v>8</v>
      </c>
      <c r="D295" t="s">
        <v>523</v>
      </c>
      <c r="E295" t="s">
        <v>22</v>
      </c>
      <c r="F295" t="s">
        <v>18</v>
      </c>
      <c r="G295" t="s">
        <v>33</v>
      </c>
      <c r="H295" s="5">
        <v>1109</v>
      </c>
      <c r="I295">
        <v>15</v>
      </c>
      <c r="J295" s="5">
        <v>418</v>
      </c>
    </row>
    <row r="296" spans="1:10" x14ac:dyDescent="0.35">
      <c r="A296" s="1">
        <v>44429</v>
      </c>
      <c r="B296" s="2">
        <f>YEAR(Sales_Dataset[[#This Row],[Order Date]])</f>
        <v>2021</v>
      </c>
      <c r="C296" s="2">
        <f>MONTH(Sales_Dataset[[#This Row],[Order Date]])</f>
        <v>8</v>
      </c>
      <c r="D296" t="s">
        <v>549</v>
      </c>
      <c r="E296" t="s">
        <v>47</v>
      </c>
      <c r="F296" t="s">
        <v>18</v>
      </c>
      <c r="G296" t="s">
        <v>39</v>
      </c>
      <c r="H296" s="5">
        <v>4706</v>
      </c>
      <c r="I296">
        <v>11</v>
      </c>
      <c r="J296" s="5">
        <v>594</v>
      </c>
    </row>
    <row r="297" spans="1:10" x14ac:dyDescent="0.35">
      <c r="A297" s="1">
        <v>44429</v>
      </c>
      <c r="B297" s="2">
        <f>YEAR(Sales_Dataset[[#This Row],[Order Date]])</f>
        <v>2021</v>
      </c>
      <c r="C297" s="2">
        <f>MONTH(Sales_Dataset[[#This Row],[Order Date]])</f>
        <v>8</v>
      </c>
      <c r="D297" t="s">
        <v>549</v>
      </c>
      <c r="E297" t="s">
        <v>47</v>
      </c>
      <c r="F297" t="s">
        <v>18</v>
      </c>
      <c r="G297" t="s">
        <v>30</v>
      </c>
      <c r="H297" s="5">
        <v>6584</v>
      </c>
      <c r="I297">
        <v>6</v>
      </c>
      <c r="J297" s="5">
        <v>371</v>
      </c>
    </row>
    <row r="298" spans="1:10" x14ac:dyDescent="0.35">
      <c r="A298" s="1">
        <v>44432</v>
      </c>
      <c r="B298" s="2">
        <f>YEAR(Sales_Dataset[[#This Row],[Order Date]])</f>
        <v>2021</v>
      </c>
      <c r="C298" s="2">
        <f>MONTH(Sales_Dataset[[#This Row],[Order Date]])</f>
        <v>8</v>
      </c>
      <c r="D298" t="s">
        <v>718</v>
      </c>
      <c r="E298" t="s">
        <v>15</v>
      </c>
      <c r="F298" t="s">
        <v>10</v>
      </c>
      <c r="G298" t="s">
        <v>23</v>
      </c>
      <c r="H298" s="5">
        <v>5954</v>
      </c>
      <c r="I298">
        <v>14</v>
      </c>
      <c r="J298" s="5">
        <v>2640</v>
      </c>
    </row>
    <row r="299" spans="1:10" x14ac:dyDescent="0.35">
      <c r="A299" s="1">
        <v>44437</v>
      </c>
      <c r="B299" s="2">
        <f>YEAR(Sales_Dataset[[#This Row],[Order Date]])</f>
        <v>2021</v>
      </c>
      <c r="C299" s="2">
        <f>MONTH(Sales_Dataset[[#This Row],[Order Date]])</f>
        <v>8</v>
      </c>
      <c r="D299" t="s">
        <v>121</v>
      </c>
      <c r="E299" t="s">
        <v>15</v>
      </c>
      <c r="F299" t="s">
        <v>24</v>
      </c>
      <c r="G299" t="s">
        <v>27</v>
      </c>
      <c r="H299" s="5">
        <v>9820</v>
      </c>
      <c r="I299">
        <v>16</v>
      </c>
      <c r="J299" s="5">
        <v>793</v>
      </c>
    </row>
    <row r="300" spans="1:10" x14ac:dyDescent="0.35">
      <c r="A300" s="1">
        <v>44445</v>
      </c>
      <c r="B300" s="2">
        <f>YEAR(Sales_Dataset[[#This Row],[Order Date]])</f>
        <v>2021</v>
      </c>
      <c r="C300" s="2">
        <f>MONTH(Sales_Dataset[[#This Row],[Order Date]])</f>
        <v>9</v>
      </c>
      <c r="D300" t="s">
        <v>621</v>
      </c>
      <c r="E300" t="s">
        <v>22</v>
      </c>
      <c r="F300" t="s">
        <v>18</v>
      </c>
      <c r="G300" t="s">
        <v>33</v>
      </c>
      <c r="H300" s="5">
        <v>2451</v>
      </c>
      <c r="I300">
        <v>8</v>
      </c>
      <c r="J300" s="5">
        <v>342</v>
      </c>
    </row>
    <row r="301" spans="1:10" x14ac:dyDescent="0.35">
      <c r="A301" s="1">
        <v>44445</v>
      </c>
      <c r="B301" s="2">
        <f>YEAR(Sales_Dataset[[#This Row],[Order Date]])</f>
        <v>2021</v>
      </c>
      <c r="C301" s="2">
        <f>MONTH(Sales_Dataset[[#This Row],[Order Date]])</f>
        <v>9</v>
      </c>
      <c r="D301" t="s">
        <v>743</v>
      </c>
      <c r="E301" t="s">
        <v>13</v>
      </c>
      <c r="F301" t="s">
        <v>24</v>
      </c>
      <c r="G301" t="s">
        <v>51</v>
      </c>
      <c r="H301" s="5">
        <v>3129</v>
      </c>
      <c r="I301">
        <v>9</v>
      </c>
      <c r="J301" s="5">
        <v>55</v>
      </c>
    </row>
    <row r="302" spans="1:10" x14ac:dyDescent="0.35">
      <c r="A302" s="1">
        <v>44445</v>
      </c>
      <c r="B302" s="2">
        <f>YEAR(Sales_Dataset[[#This Row],[Order Date]])</f>
        <v>2021</v>
      </c>
      <c r="C302" s="2">
        <f>MONTH(Sales_Dataset[[#This Row],[Order Date]])</f>
        <v>9</v>
      </c>
      <c r="D302" t="s">
        <v>743</v>
      </c>
      <c r="E302" t="s">
        <v>13</v>
      </c>
      <c r="F302" t="s">
        <v>10</v>
      </c>
      <c r="G302" t="s">
        <v>23</v>
      </c>
      <c r="H302" s="5">
        <v>7821</v>
      </c>
      <c r="I302">
        <v>13</v>
      </c>
      <c r="J302" s="5">
        <v>3821</v>
      </c>
    </row>
    <row r="303" spans="1:10" x14ac:dyDescent="0.35">
      <c r="A303" s="1">
        <v>44447</v>
      </c>
      <c r="B303" s="2">
        <f>YEAR(Sales_Dataset[[#This Row],[Order Date]])</f>
        <v>2021</v>
      </c>
      <c r="C303" s="2">
        <f>MONTH(Sales_Dataset[[#This Row],[Order Date]])</f>
        <v>9</v>
      </c>
      <c r="D303" t="s">
        <v>106</v>
      </c>
      <c r="E303" t="s">
        <v>22</v>
      </c>
      <c r="F303" t="s">
        <v>18</v>
      </c>
      <c r="G303" t="s">
        <v>39</v>
      </c>
      <c r="H303" s="5">
        <v>3433</v>
      </c>
      <c r="I303">
        <v>10</v>
      </c>
      <c r="J303" s="5">
        <v>1169</v>
      </c>
    </row>
    <row r="304" spans="1:10" x14ac:dyDescent="0.35">
      <c r="A304" s="1">
        <v>44447</v>
      </c>
      <c r="B304" s="2">
        <f>YEAR(Sales_Dataset[[#This Row],[Order Date]])</f>
        <v>2021</v>
      </c>
      <c r="C304" s="2">
        <f>MONTH(Sales_Dataset[[#This Row],[Order Date]])</f>
        <v>9</v>
      </c>
      <c r="D304" t="s">
        <v>106</v>
      </c>
      <c r="E304" t="s">
        <v>22</v>
      </c>
      <c r="F304" t="s">
        <v>18</v>
      </c>
      <c r="G304" t="s">
        <v>39</v>
      </c>
      <c r="H304" s="5">
        <v>3887</v>
      </c>
      <c r="I304">
        <v>1</v>
      </c>
      <c r="J304" s="5">
        <v>1490</v>
      </c>
    </row>
    <row r="305" spans="1:10" x14ac:dyDescent="0.35">
      <c r="A305" s="1">
        <v>44447</v>
      </c>
      <c r="B305" s="2">
        <f>YEAR(Sales_Dataset[[#This Row],[Order Date]])</f>
        <v>2021</v>
      </c>
      <c r="C305" s="2">
        <f>MONTH(Sales_Dataset[[#This Row],[Order Date]])</f>
        <v>9</v>
      </c>
      <c r="D305" t="s">
        <v>313</v>
      </c>
      <c r="E305" t="s">
        <v>15</v>
      </c>
      <c r="F305" t="s">
        <v>10</v>
      </c>
      <c r="G305" t="s">
        <v>11</v>
      </c>
      <c r="H305" s="5">
        <v>6934</v>
      </c>
      <c r="I305">
        <v>1</v>
      </c>
      <c r="J305" s="5">
        <v>1226</v>
      </c>
    </row>
    <row r="306" spans="1:10" x14ac:dyDescent="0.35">
      <c r="A306" s="1">
        <v>44448</v>
      </c>
      <c r="B306" s="2">
        <f>YEAR(Sales_Dataset[[#This Row],[Order Date]])</f>
        <v>2021</v>
      </c>
      <c r="C306" s="2">
        <f>MONTH(Sales_Dataset[[#This Row],[Order Date]])</f>
        <v>9</v>
      </c>
      <c r="D306" t="s">
        <v>105</v>
      </c>
      <c r="E306" t="s">
        <v>13</v>
      </c>
      <c r="F306" t="s">
        <v>18</v>
      </c>
      <c r="G306" t="s">
        <v>39</v>
      </c>
      <c r="H306" s="5">
        <v>3433</v>
      </c>
      <c r="I306">
        <v>10</v>
      </c>
      <c r="J306" s="5">
        <v>1169</v>
      </c>
    </row>
    <row r="307" spans="1:10" x14ac:dyDescent="0.35">
      <c r="A307" s="1">
        <v>44448</v>
      </c>
      <c r="B307" s="2">
        <f>YEAR(Sales_Dataset[[#This Row],[Order Date]])</f>
        <v>2021</v>
      </c>
      <c r="C307" s="2">
        <f>MONTH(Sales_Dataset[[#This Row],[Order Date]])</f>
        <v>9</v>
      </c>
      <c r="D307" t="s">
        <v>105</v>
      </c>
      <c r="E307" t="s">
        <v>13</v>
      </c>
      <c r="F307" t="s">
        <v>18</v>
      </c>
      <c r="G307" t="s">
        <v>39</v>
      </c>
      <c r="H307" s="5">
        <v>3887</v>
      </c>
      <c r="I307">
        <v>1</v>
      </c>
      <c r="J307" s="5">
        <v>1490</v>
      </c>
    </row>
    <row r="308" spans="1:10" x14ac:dyDescent="0.35">
      <c r="A308" s="1">
        <v>44453</v>
      </c>
      <c r="B308" s="2">
        <f>YEAR(Sales_Dataset[[#This Row],[Order Date]])</f>
        <v>2021</v>
      </c>
      <c r="C308" s="2">
        <f>MONTH(Sales_Dataset[[#This Row],[Order Date]])</f>
        <v>9</v>
      </c>
      <c r="D308" t="s">
        <v>298</v>
      </c>
      <c r="E308" t="s">
        <v>36</v>
      </c>
      <c r="F308" t="s">
        <v>10</v>
      </c>
      <c r="G308" t="s">
        <v>41</v>
      </c>
      <c r="H308" s="5">
        <v>6707</v>
      </c>
      <c r="I308">
        <v>20</v>
      </c>
      <c r="J308" s="5">
        <v>1041</v>
      </c>
    </row>
    <row r="309" spans="1:10" x14ac:dyDescent="0.35">
      <c r="A309" s="1">
        <v>44454</v>
      </c>
      <c r="B309" s="2">
        <f>YEAR(Sales_Dataset[[#This Row],[Order Date]])</f>
        <v>2021</v>
      </c>
      <c r="C309" s="2">
        <f>MONTH(Sales_Dataset[[#This Row],[Order Date]])</f>
        <v>9</v>
      </c>
      <c r="D309" t="s">
        <v>187</v>
      </c>
      <c r="E309" t="s">
        <v>47</v>
      </c>
      <c r="F309" t="s">
        <v>24</v>
      </c>
      <c r="G309" t="s">
        <v>31</v>
      </c>
      <c r="H309" s="5">
        <v>1760</v>
      </c>
      <c r="I309">
        <v>16</v>
      </c>
      <c r="J309" s="5">
        <v>619</v>
      </c>
    </row>
    <row r="310" spans="1:10" x14ac:dyDescent="0.35">
      <c r="A310" s="1">
        <v>44454</v>
      </c>
      <c r="B310" s="2">
        <f>YEAR(Sales_Dataset[[#This Row],[Order Date]])</f>
        <v>2021</v>
      </c>
      <c r="C310" s="2">
        <f>MONTH(Sales_Dataset[[#This Row],[Order Date]])</f>
        <v>9</v>
      </c>
      <c r="D310" t="s">
        <v>187</v>
      </c>
      <c r="E310" t="s">
        <v>47</v>
      </c>
      <c r="F310" t="s">
        <v>10</v>
      </c>
      <c r="G310" t="s">
        <v>16</v>
      </c>
      <c r="H310" s="5">
        <v>6351</v>
      </c>
      <c r="I310">
        <v>15</v>
      </c>
      <c r="J310" s="5">
        <v>986</v>
      </c>
    </row>
    <row r="311" spans="1:10" x14ac:dyDescent="0.35">
      <c r="A311" s="1">
        <v>44469</v>
      </c>
      <c r="B311" s="2">
        <f>YEAR(Sales_Dataset[[#This Row],[Order Date]])</f>
        <v>2021</v>
      </c>
      <c r="C311" s="2">
        <f>MONTH(Sales_Dataset[[#This Row],[Order Date]])</f>
        <v>9</v>
      </c>
      <c r="D311" t="s">
        <v>299</v>
      </c>
      <c r="E311" t="s">
        <v>13</v>
      </c>
      <c r="F311" t="s">
        <v>18</v>
      </c>
      <c r="G311" t="s">
        <v>19</v>
      </c>
      <c r="H311" s="5">
        <v>7633</v>
      </c>
      <c r="I311">
        <v>13</v>
      </c>
      <c r="J311" s="5">
        <v>184</v>
      </c>
    </row>
    <row r="312" spans="1:10" x14ac:dyDescent="0.35">
      <c r="A312" s="1">
        <v>44471</v>
      </c>
      <c r="B312" s="2">
        <f>YEAR(Sales_Dataset[[#This Row],[Order Date]])</f>
        <v>2021</v>
      </c>
      <c r="C312" s="2">
        <f>MONTH(Sales_Dataset[[#This Row],[Order Date]])</f>
        <v>10</v>
      </c>
      <c r="D312" t="s">
        <v>232</v>
      </c>
      <c r="E312" t="s">
        <v>9</v>
      </c>
      <c r="F312" t="s">
        <v>18</v>
      </c>
      <c r="G312" t="s">
        <v>19</v>
      </c>
      <c r="H312" s="5">
        <v>9905</v>
      </c>
      <c r="I312">
        <v>17</v>
      </c>
      <c r="J312" s="5">
        <v>633</v>
      </c>
    </row>
    <row r="313" spans="1:10" x14ac:dyDescent="0.35">
      <c r="A313" s="1">
        <v>44473</v>
      </c>
      <c r="B313" s="2">
        <f>YEAR(Sales_Dataset[[#This Row],[Order Date]])</f>
        <v>2021</v>
      </c>
      <c r="C313" s="2">
        <f>MONTH(Sales_Dataset[[#This Row],[Order Date]])</f>
        <v>10</v>
      </c>
      <c r="D313" t="s">
        <v>213</v>
      </c>
      <c r="E313" t="s">
        <v>13</v>
      </c>
      <c r="F313" t="s">
        <v>18</v>
      </c>
      <c r="G313" t="s">
        <v>33</v>
      </c>
      <c r="H313" s="5">
        <v>7560</v>
      </c>
      <c r="I313">
        <v>4</v>
      </c>
      <c r="J313" s="5">
        <v>821</v>
      </c>
    </row>
    <row r="314" spans="1:10" x14ac:dyDescent="0.35">
      <c r="A314" s="1">
        <v>44473</v>
      </c>
      <c r="B314" s="2">
        <f>YEAR(Sales_Dataset[[#This Row],[Order Date]])</f>
        <v>2021</v>
      </c>
      <c r="C314" s="2">
        <f>MONTH(Sales_Dataset[[#This Row],[Order Date]])</f>
        <v>10</v>
      </c>
      <c r="D314" t="s">
        <v>769</v>
      </c>
      <c r="E314" t="s">
        <v>15</v>
      </c>
      <c r="F314" t="s">
        <v>24</v>
      </c>
      <c r="G314" t="s">
        <v>25</v>
      </c>
      <c r="H314" s="5">
        <v>4314</v>
      </c>
      <c r="I314">
        <v>5</v>
      </c>
      <c r="J314" s="5">
        <v>1591</v>
      </c>
    </row>
    <row r="315" spans="1:10" x14ac:dyDescent="0.35">
      <c r="A315" s="1">
        <v>44474</v>
      </c>
      <c r="B315" s="2">
        <f>YEAR(Sales_Dataset[[#This Row],[Order Date]])</f>
        <v>2021</v>
      </c>
      <c r="C315" s="2">
        <f>MONTH(Sales_Dataset[[#This Row],[Order Date]])</f>
        <v>10</v>
      </c>
      <c r="D315" t="s">
        <v>807</v>
      </c>
      <c r="E315" t="s">
        <v>9</v>
      </c>
      <c r="F315" t="s">
        <v>24</v>
      </c>
      <c r="G315" t="s">
        <v>51</v>
      </c>
      <c r="H315" s="5">
        <v>7417</v>
      </c>
      <c r="I315">
        <v>16</v>
      </c>
      <c r="J315" s="5">
        <v>1334</v>
      </c>
    </row>
    <row r="316" spans="1:10" x14ac:dyDescent="0.35">
      <c r="A316" s="1">
        <v>44475</v>
      </c>
      <c r="B316" s="2">
        <f>YEAR(Sales_Dataset[[#This Row],[Order Date]])</f>
        <v>2021</v>
      </c>
      <c r="C316" s="2">
        <f>MONTH(Sales_Dataset[[#This Row],[Order Date]])</f>
        <v>10</v>
      </c>
      <c r="D316" t="s">
        <v>738</v>
      </c>
      <c r="E316" t="s">
        <v>9</v>
      </c>
      <c r="F316" t="s">
        <v>18</v>
      </c>
      <c r="G316" t="s">
        <v>30</v>
      </c>
      <c r="H316" s="5">
        <v>8104</v>
      </c>
      <c r="I316">
        <v>6</v>
      </c>
      <c r="J316" s="5">
        <v>1039</v>
      </c>
    </row>
    <row r="317" spans="1:10" x14ac:dyDescent="0.35">
      <c r="A317" s="1">
        <v>44475</v>
      </c>
      <c r="B317" s="2">
        <f>YEAR(Sales_Dataset[[#This Row],[Order Date]])</f>
        <v>2021</v>
      </c>
      <c r="C317" s="2">
        <f>MONTH(Sales_Dataset[[#This Row],[Order Date]])</f>
        <v>10</v>
      </c>
      <c r="D317" t="s">
        <v>745</v>
      </c>
      <c r="E317" t="s">
        <v>15</v>
      </c>
      <c r="F317" t="s">
        <v>10</v>
      </c>
      <c r="G317" t="s">
        <v>41</v>
      </c>
      <c r="H317" s="5">
        <v>9498</v>
      </c>
      <c r="I317">
        <v>12</v>
      </c>
      <c r="J317" s="5">
        <v>256</v>
      </c>
    </row>
    <row r="318" spans="1:10" x14ac:dyDescent="0.35">
      <c r="A318" s="1">
        <v>44478</v>
      </c>
      <c r="B318" s="2">
        <f>YEAR(Sales_Dataset[[#This Row],[Order Date]])</f>
        <v>2021</v>
      </c>
      <c r="C318" s="2">
        <f>MONTH(Sales_Dataset[[#This Row],[Order Date]])</f>
        <v>10</v>
      </c>
      <c r="D318" t="s">
        <v>20</v>
      </c>
      <c r="E318" t="s">
        <v>9</v>
      </c>
      <c r="F318" t="s">
        <v>18</v>
      </c>
      <c r="G318" t="s">
        <v>19</v>
      </c>
      <c r="H318" s="5">
        <v>1525</v>
      </c>
      <c r="I318">
        <v>12</v>
      </c>
      <c r="J318" s="5">
        <v>185</v>
      </c>
    </row>
    <row r="319" spans="1:10" x14ac:dyDescent="0.35">
      <c r="A319" s="1">
        <v>44478</v>
      </c>
      <c r="B319" s="2">
        <f>YEAR(Sales_Dataset[[#This Row],[Order Date]])</f>
        <v>2021</v>
      </c>
      <c r="C319" s="2">
        <f>MONTH(Sales_Dataset[[#This Row],[Order Date]])</f>
        <v>10</v>
      </c>
      <c r="D319" t="s">
        <v>96</v>
      </c>
      <c r="E319" t="s">
        <v>15</v>
      </c>
      <c r="F319" t="s">
        <v>18</v>
      </c>
      <c r="G319" t="s">
        <v>19</v>
      </c>
      <c r="H319" s="5">
        <v>9992</v>
      </c>
      <c r="I319">
        <v>20</v>
      </c>
      <c r="J319" s="5">
        <v>3696</v>
      </c>
    </row>
    <row r="320" spans="1:10" x14ac:dyDescent="0.35">
      <c r="A320" s="1">
        <v>44478</v>
      </c>
      <c r="B320" s="2">
        <f>YEAR(Sales_Dataset[[#This Row],[Order Date]])</f>
        <v>2021</v>
      </c>
      <c r="C320" s="2">
        <f>MONTH(Sales_Dataset[[#This Row],[Order Date]])</f>
        <v>10</v>
      </c>
      <c r="D320" t="s">
        <v>96</v>
      </c>
      <c r="E320" t="s">
        <v>15</v>
      </c>
      <c r="F320" t="s">
        <v>18</v>
      </c>
      <c r="G320" t="s">
        <v>39</v>
      </c>
      <c r="H320" s="5">
        <v>9619</v>
      </c>
      <c r="I320">
        <v>7</v>
      </c>
      <c r="J320" s="5">
        <v>3420</v>
      </c>
    </row>
    <row r="321" spans="1:10" x14ac:dyDescent="0.35">
      <c r="A321" s="1">
        <v>44481</v>
      </c>
      <c r="B321" s="2">
        <f>YEAR(Sales_Dataset[[#This Row],[Order Date]])</f>
        <v>2021</v>
      </c>
      <c r="C321" s="2">
        <f>MONTH(Sales_Dataset[[#This Row],[Order Date]])</f>
        <v>10</v>
      </c>
      <c r="D321" t="s">
        <v>60</v>
      </c>
      <c r="E321" t="s">
        <v>36</v>
      </c>
      <c r="F321" t="s">
        <v>24</v>
      </c>
      <c r="G321" t="s">
        <v>25</v>
      </c>
      <c r="H321" s="5">
        <v>3090</v>
      </c>
      <c r="I321">
        <v>6</v>
      </c>
      <c r="J321" s="5">
        <v>573</v>
      </c>
    </row>
    <row r="322" spans="1:10" x14ac:dyDescent="0.35">
      <c r="A322" s="1">
        <v>44481</v>
      </c>
      <c r="B322" s="2">
        <f>YEAR(Sales_Dataset[[#This Row],[Order Date]])</f>
        <v>2021</v>
      </c>
      <c r="C322" s="2">
        <f>MONTH(Sales_Dataset[[#This Row],[Order Date]])</f>
        <v>10</v>
      </c>
      <c r="D322" t="s">
        <v>60</v>
      </c>
      <c r="E322" t="s">
        <v>36</v>
      </c>
      <c r="F322" t="s">
        <v>10</v>
      </c>
      <c r="G322" t="s">
        <v>16</v>
      </c>
      <c r="H322" s="5">
        <v>9683</v>
      </c>
      <c r="I322">
        <v>5</v>
      </c>
      <c r="J322" s="5">
        <v>1014</v>
      </c>
    </row>
    <row r="323" spans="1:10" x14ac:dyDescent="0.35">
      <c r="A323" s="1">
        <v>44486</v>
      </c>
      <c r="B323" s="2">
        <f>YEAR(Sales_Dataset[[#This Row],[Order Date]])</f>
        <v>2021</v>
      </c>
      <c r="C323" s="2">
        <f>MONTH(Sales_Dataset[[#This Row],[Order Date]])</f>
        <v>10</v>
      </c>
      <c r="D323" t="s">
        <v>129</v>
      </c>
      <c r="E323" t="s">
        <v>13</v>
      </c>
      <c r="F323" t="s">
        <v>18</v>
      </c>
      <c r="G323" t="s">
        <v>33</v>
      </c>
      <c r="H323" s="5">
        <v>9883</v>
      </c>
      <c r="I323">
        <v>16</v>
      </c>
      <c r="J323" s="5">
        <v>4812</v>
      </c>
    </row>
    <row r="324" spans="1:10" x14ac:dyDescent="0.35">
      <c r="A324" s="1">
        <v>44486</v>
      </c>
      <c r="B324" s="2">
        <f>YEAR(Sales_Dataset[[#This Row],[Order Date]])</f>
        <v>2021</v>
      </c>
      <c r="C324" s="2">
        <f>MONTH(Sales_Dataset[[#This Row],[Order Date]])</f>
        <v>10</v>
      </c>
      <c r="D324" t="s">
        <v>129</v>
      </c>
      <c r="E324" t="s">
        <v>13</v>
      </c>
      <c r="F324" t="s">
        <v>18</v>
      </c>
      <c r="G324" t="s">
        <v>33</v>
      </c>
      <c r="H324" s="5">
        <v>5210</v>
      </c>
      <c r="I324">
        <v>7</v>
      </c>
      <c r="J324" s="5">
        <v>1185</v>
      </c>
    </row>
    <row r="325" spans="1:10" x14ac:dyDescent="0.35">
      <c r="A325" s="1">
        <v>44488</v>
      </c>
      <c r="B325" s="2">
        <f>YEAR(Sales_Dataset[[#This Row],[Order Date]])</f>
        <v>2021</v>
      </c>
      <c r="C325" s="2">
        <f>MONTH(Sales_Dataset[[#This Row],[Order Date]])</f>
        <v>10</v>
      </c>
      <c r="D325" t="s">
        <v>602</v>
      </c>
      <c r="E325" t="s">
        <v>13</v>
      </c>
      <c r="F325" t="s">
        <v>24</v>
      </c>
      <c r="G325" t="s">
        <v>51</v>
      </c>
      <c r="H325" s="5">
        <v>5354</v>
      </c>
      <c r="I325">
        <v>10</v>
      </c>
      <c r="J325" s="5">
        <v>743</v>
      </c>
    </row>
    <row r="326" spans="1:10" x14ac:dyDescent="0.35">
      <c r="A326" s="1">
        <v>44489</v>
      </c>
      <c r="B326" s="2">
        <f>YEAR(Sales_Dataset[[#This Row],[Order Date]])</f>
        <v>2021</v>
      </c>
      <c r="C326" s="2">
        <f>MONTH(Sales_Dataset[[#This Row],[Order Date]])</f>
        <v>10</v>
      </c>
      <c r="D326" t="s">
        <v>601</v>
      </c>
      <c r="E326" t="s">
        <v>36</v>
      </c>
      <c r="F326" t="s">
        <v>18</v>
      </c>
      <c r="G326" t="s">
        <v>30</v>
      </c>
      <c r="H326" s="5">
        <v>9406</v>
      </c>
      <c r="I326">
        <v>16</v>
      </c>
      <c r="J326" s="5">
        <v>1137</v>
      </c>
    </row>
    <row r="327" spans="1:10" x14ac:dyDescent="0.35">
      <c r="A327" s="1">
        <v>44489</v>
      </c>
      <c r="B327" s="2">
        <f>YEAR(Sales_Dataset[[#This Row],[Order Date]])</f>
        <v>2021</v>
      </c>
      <c r="C327" s="2">
        <f>MONTH(Sales_Dataset[[#This Row],[Order Date]])</f>
        <v>10</v>
      </c>
      <c r="D327" t="s">
        <v>601</v>
      </c>
      <c r="E327" t="s">
        <v>36</v>
      </c>
      <c r="F327" t="s">
        <v>10</v>
      </c>
      <c r="G327" t="s">
        <v>16</v>
      </c>
      <c r="H327" s="5">
        <v>1156</v>
      </c>
      <c r="I327">
        <v>15</v>
      </c>
      <c r="J327" s="5">
        <v>74</v>
      </c>
    </row>
    <row r="328" spans="1:10" x14ac:dyDescent="0.35">
      <c r="A328" s="1">
        <v>44492</v>
      </c>
      <c r="B328" s="2">
        <f>YEAR(Sales_Dataset[[#This Row],[Order Date]])</f>
        <v>2021</v>
      </c>
      <c r="C328" s="2">
        <f>MONTH(Sales_Dataset[[#This Row],[Order Date]])</f>
        <v>10</v>
      </c>
      <c r="D328" t="s">
        <v>240</v>
      </c>
      <c r="E328" t="s">
        <v>15</v>
      </c>
      <c r="F328" t="s">
        <v>10</v>
      </c>
      <c r="G328" t="s">
        <v>11</v>
      </c>
      <c r="H328" s="5">
        <v>8568</v>
      </c>
      <c r="I328">
        <v>11</v>
      </c>
      <c r="J328" s="5">
        <v>2419</v>
      </c>
    </row>
    <row r="329" spans="1:10" x14ac:dyDescent="0.35">
      <c r="A329" s="1">
        <v>44492</v>
      </c>
      <c r="B329" s="2">
        <f>YEAR(Sales_Dataset[[#This Row],[Order Date]])</f>
        <v>2021</v>
      </c>
      <c r="C329" s="2">
        <f>MONTH(Sales_Dataset[[#This Row],[Order Date]])</f>
        <v>10</v>
      </c>
      <c r="D329" t="s">
        <v>240</v>
      </c>
      <c r="E329" t="s">
        <v>15</v>
      </c>
      <c r="F329" t="s">
        <v>18</v>
      </c>
      <c r="G329" t="s">
        <v>19</v>
      </c>
      <c r="H329" s="5">
        <v>3283</v>
      </c>
      <c r="I329">
        <v>6</v>
      </c>
      <c r="J329" s="5">
        <v>71</v>
      </c>
    </row>
    <row r="330" spans="1:10" x14ac:dyDescent="0.35">
      <c r="A330" s="1">
        <v>44492</v>
      </c>
      <c r="B330" s="2">
        <f>YEAR(Sales_Dataset[[#This Row],[Order Date]])</f>
        <v>2021</v>
      </c>
      <c r="C330" s="2">
        <f>MONTH(Sales_Dataset[[#This Row],[Order Date]])</f>
        <v>10</v>
      </c>
      <c r="D330" t="s">
        <v>475</v>
      </c>
      <c r="E330" t="s">
        <v>47</v>
      </c>
      <c r="F330" t="s">
        <v>24</v>
      </c>
      <c r="G330" t="s">
        <v>31</v>
      </c>
      <c r="H330" s="5">
        <v>2663</v>
      </c>
      <c r="I330">
        <v>19</v>
      </c>
      <c r="J330" s="5">
        <v>64</v>
      </c>
    </row>
    <row r="331" spans="1:10" x14ac:dyDescent="0.35">
      <c r="A331" s="1">
        <v>44495</v>
      </c>
      <c r="B331" s="2">
        <f>YEAR(Sales_Dataset[[#This Row],[Order Date]])</f>
        <v>2021</v>
      </c>
      <c r="C331" s="2">
        <f>MONTH(Sales_Dataset[[#This Row],[Order Date]])</f>
        <v>10</v>
      </c>
      <c r="D331" t="s">
        <v>266</v>
      </c>
      <c r="E331" t="s">
        <v>36</v>
      </c>
      <c r="F331" t="s">
        <v>18</v>
      </c>
      <c r="G331" t="s">
        <v>33</v>
      </c>
      <c r="H331" s="5">
        <v>2901</v>
      </c>
      <c r="I331">
        <v>2</v>
      </c>
      <c r="J331" s="5">
        <v>1411</v>
      </c>
    </row>
    <row r="332" spans="1:10" x14ac:dyDescent="0.35">
      <c r="A332" s="1">
        <v>44495</v>
      </c>
      <c r="B332" s="2">
        <f>YEAR(Sales_Dataset[[#This Row],[Order Date]])</f>
        <v>2021</v>
      </c>
      <c r="C332" s="2">
        <f>MONTH(Sales_Dataset[[#This Row],[Order Date]])</f>
        <v>10</v>
      </c>
      <c r="D332" t="s">
        <v>266</v>
      </c>
      <c r="E332" t="s">
        <v>36</v>
      </c>
      <c r="F332" t="s">
        <v>18</v>
      </c>
      <c r="G332" t="s">
        <v>19</v>
      </c>
      <c r="H332" s="5">
        <v>6934</v>
      </c>
      <c r="I332">
        <v>6</v>
      </c>
      <c r="J332" s="5">
        <v>1152</v>
      </c>
    </row>
    <row r="333" spans="1:10" x14ac:dyDescent="0.35">
      <c r="A333" s="1">
        <v>44498</v>
      </c>
      <c r="B333" s="2">
        <f>YEAR(Sales_Dataset[[#This Row],[Order Date]])</f>
        <v>2021</v>
      </c>
      <c r="C333" s="2">
        <f>MONTH(Sales_Dataset[[#This Row],[Order Date]])</f>
        <v>10</v>
      </c>
      <c r="D333" t="s">
        <v>575</v>
      </c>
      <c r="E333" t="s">
        <v>36</v>
      </c>
      <c r="F333" t="s">
        <v>10</v>
      </c>
      <c r="G333" t="s">
        <v>16</v>
      </c>
      <c r="H333" s="5">
        <v>5313</v>
      </c>
      <c r="I333">
        <v>7</v>
      </c>
      <c r="J333" s="5">
        <v>2037</v>
      </c>
    </row>
    <row r="334" spans="1:10" x14ac:dyDescent="0.35">
      <c r="A334" s="1">
        <v>44498</v>
      </c>
      <c r="B334" s="2">
        <f>YEAR(Sales_Dataset[[#This Row],[Order Date]])</f>
        <v>2021</v>
      </c>
      <c r="C334" s="2">
        <f>MONTH(Sales_Dataset[[#This Row],[Order Date]])</f>
        <v>10</v>
      </c>
      <c r="D334" t="s">
        <v>654</v>
      </c>
      <c r="E334" t="s">
        <v>22</v>
      </c>
      <c r="F334" t="s">
        <v>24</v>
      </c>
      <c r="G334" t="s">
        <v>31</v>
      </c>
      <c r="H334" s="5">
        <v>5193</v>
      </c>
      <c r="I334">
        <v>5</v>
      </c>
      <c r="J334" s="5">
        <v>2530</v>
      </c>
    </row>
    <row r="335" spans="1:10" x14ac:dyDescent="0.35">
      <c r="A335" s="1">
        <v>44500</v>
      </c>
      <c r="B335" s="2">
        <f>YEAR(Sales_Dataset[[#This Row],[Order Date]])</f>
        <v>2021</v>
      </c>
      <c r="C335" s="2">
        <f>MONTH(Sales_Dataset[[#This Row],[Order Date]])</f>
        <v>10</v>
      </c>
      <c r="D335" t="s">
        <v>268</v>
      </c>
      <c r="E335" t="s">
        <v>13</v>
      </c>
      <c r="F335" t="s">
        <v>24</v>
      </c>
      <c r="G335" t="s">
        <v>51</v>
      </c>
      <c r="H335" s="5">
        <v>9640</v>
      </c>
      <c r="I335">
        <v>2</v>
      </c>
      <c r="J335" s="5">
        <v>2606</v>
      </c>
    </row>
    <row r="336" spans="1:10" x14ac:dyDescent="0.35">
      <c r="A336" s="1">
        <v>44501</v>
      </c>
      <c r="B336" s="2">
        <f>YEAR(Sales_Dataset[[#This Row],[Order Date]])</f>
        <v>2021</v>
      </c>
      <c r="C336" s="2">
        <f>MONTH(Sales_Dataset[[#This Row],[Order Date]])</f>
        <v>11</v>
      </c>
      <c r="D336" t="s">
        <v>671</v>
      </c>
      <c r="E336" t="s">
        <v>22</v>
      </c>
      <c r="F336" t="s">
        <v>10</v>
      </c>
      <c r="G336" t="s">
        <v>16</v>
      </c>
      <c r="H336" s="5">
        <v>9215</v>
      </c>
      <c r="I336">
        <v>13</v>
      </c>
      <c r="J336" s="5">
        <v>767</v>
      </c>
    </row>
    <row r="337" spans="1:10" x14ac:dyDescent="0.35">
      <c r="A337" s="1">
        <v>44506</v>
      </c>
      <c r="B337" s="2">
        <f>YEAR(Sales_Dataset[[#This Row],[Order Date]])</f>
        <v>2021</v>
      </c>
      <c r="C337" s="2">
        <f>MONTH(Sales_Dataset[[#This Row],[Order Date]])</f>
        <v>11</v>
      </c>
      <c r="D337" t="s">
        <v>353</v>
      </c>
      <c r="E337" t="s">
        <v>9</v>
      </c>
      <c r="F337" t="s">
        <v>18</v>
      </c>
      <c r="G337" t="s">
        <v>19</v>
      </c>
      <c r="H337" s="5">
        <v>4853</v>
      </c>
      <c r="I337">
        <v>9</v>
      </c>
      <c r="J337" s="5">
        <v>1764</v>
      </c>
    </row>
    <row r="338" spans="1:10" x14ac:dyDescent="0.35">
      <c r="A338" s="1">
        <v>44511</v>
      </c>
      <c r="B338" s="2">
        <f>YEAR(Sales_Dataset[[#This Row],[Order Date]])</f>
        <v>2021</v>
      </c>
      <c r="C338" s="2">
        <f>MONTH(Sales_Dataset[[#This Row],[Order Date]])</f>
        <v>11</v>
      </c>
      <c r="D338" t="s">
        <v>375</v>
      </c>
      <c r="E338" t="s">
        <v>9</v>
      </c>
      <c r="F338" t="s">
        <v>10</v>
      </c>
      <c r="G338" t="s">
        <v>11</v>
      </c>
      <c r="H338" s="5">
        <v>8590</v>
      </c>
      <c r="I338">
        <v>15</v>
      </c>
      <c r="J338" s="5">
        <v>3565</v>
      </c>
    </row>
    <row r="339" spans="1:10" x14ac:dyDescent="0.35">
      <c r="A339" s="1">
        <v>44511</v>
      </c>
      <c r="B339" s="2">
        <f>YEAR(Sales_Dataset[[#This Row],[Order Date]])</f>
        <v>2021</v>
      </c>
      <c r="C339" s="2">
        <f>MONTH(Sales_Dataset[[#This Row],[Order Date]])</f>
        <v>11</v>
      </c>
      <c r="D339" t="s">
        <v>375</v>
      </c>
      <c r="E339" t="s">
        <v>9</v>
      </c>
      <c r="F339" t="s">
        <v>24</v>
      </c>
      <c r="G339" t="s">
        <v>25</v>
      </c>
      <c r="H339" s="5">
        <v>6973</v>
      </c>
      <c r="I339">
        <v>10</v>
      </c>
      <c r="J339" s="5">
        <v>3038</v>
      </c>
    </row>
    <row r="340" spans="1:10" x14ac:dyDescent="0.35">
      <c r="A340" s="1">
        <v>44512</v>
      </c>
      <c r="B340" s="2">
        <f>YEAR(Sales_Dataset[[#This Row],[Order Date]])</f>
        <v>2021</v>
      </c>
      <c r="C340" s="2">
        <f>MONTH(Sales_Dataset[[#This Row],[Order Date]])</f>
        <v>11</v>
      </c>
      <c r="D340" t="s">
        <v>79</v>
      </c>
      <c r="E340" t="s">
        <v>9</v>
      </c>
      <c r="F340" t="s">
        <v>24</v>
      </c>
      <c r="G340" t="s">
        <v>51</v>
      </c>
      <c r="H340" s="5">
        <v>6940</v>
      </c>
      <c r="I340">
        <v>15</v>
      </c>
      <c r="J340" s="5">
        <v>253</v>
      </c>
    </row>
    <row r="341" spans="1:10" x14ac:dyDescent="0.35">
      <c r="A341" s="1">
        <v>44512</v>
      </c>
      <c r="B341" s="2">
        <f>YEAR(Sales_Dataset[[#This Row],[Order Date]])</f>
        <v>2021</v>
      </c>
      <c r="C341" s="2">
        <f>MONTH(Sales_Dataset[[#This Row],[Order Date]])</f>
        <v>11</v>
      </c>
      <c r="D341" t="s">
        <v>79</v>
      </c>
      <c r="E341" t="s">
        <v>9</v>
      </c>
      <c r="F341" t="s">
        <v>10</v>
      </c>
      <c r="G341" t="s">
        <v>16</v>
      </c>
      <c r="H341" s="5">
        <v>5105</v>
      </c>
      <c r="I341">
        <v>5</v>
      </c>
      <c r="J341" s="5">
        <v>465</v>
      </c>
    </row>
    <row r="342" spans="1:10" x14ac:dyDescent="0.35">
      <c r="A342" s="1">
        <v>44512</v>
      </c>
      <c r="B342" s="2">
        <f>YEAR(Sales_Dataset[[#This Row],[Order Date]])</f>
        <v>2021</v>
      </c>
      <c r="C342" s="2">
        <f>MONTH(Sales_Dataset[[#This Row],[Order Date]])</f>
        <v>11</v>
      </c>
      <c r="D342" t="s">
        <v>622</v>
      </c>
      <c r="E342" t="s">
        <v>47</v>
      </c>
      <c r="F342" t="s">
        <v>18</v>
      </c>
      <c r="G342" t="s">
        <v>33</v>
      </c>
      <c r="H342" s="5">
        <v>2451</v>
      </c>
      <c r="I342">
        <v>8</v>
      </c>
      <c r="J342" s="5">
        <v>342</v>
      </c>
    </row>
    <row r="343" spans="1:10" x14ac:dyDescent="0.35">
      <c r="A343" s="1">
        <v>44513</v>
      </c>
      <c r="B343" s="2">
        <f>YEAR(Sales_Dataset[[#This Row],[Order Date]])</f>
        <v>2021</v>
      </c>
      <c r="C343" s="2">
        <f>MONTH(Sales_Dataset[[#This Row],[Order Date]])</f>
        <v>11</v>
      </c>
      <c r="D343" t="s">
        <v>238</v>
      </c>
      <c r="E343" t="s">
        <v>47</v>
      </c>
      <c r="F343" t="s">
        <v>10</v>
      </c>
      <c r="G343" t="s">
        <v>16</v>
      </c>
      <c r="H343" s="5">
        <v>3423</v>
      </c>
      <c r="I343">
        <v>4</v>
      </c>
      <c r="J343" s="5">
        <v>804</v>
      </c>
    </row>
    <row r="344" spans="1:10" x14ac:dyDescent="0.35">
      <c r="A344" s="1">
        <v>44513</v>
      </c>
      <c r="B344" s="2">
        <f>YEAR(Sales_Dataset[[#This Row],[Order Date]])</f>
        <v>2021</v>
      </c>
      <c r="C344" s="2">
        <f>MONTH(Sales_Dataset[[#This Row],[Order Date]])</f>
        <v>11</v>
      </c>
      <c r="D344" t="s">
        <v>374</v>
      </c>
      <c r="E344" t="s">
        <v>13</v>
      </c>
      <c r="F344" t="s">
        <v>18</v>
      </c>
      <c r="G344" t="s">
        <v>39</v>
      </c>
      <c r="H344" s="5">
        <v>6690</v>
      </c>
      <c r="I344">
        <v>19</v>
      </c>
      <c r="J344" s="5">
        <v>1001</v>
      </c>
    </row>
    <row r="345" spans="1:10" x14ac:dyDescent="0.35">
      <c r="A345" s="1">
        <v>44513</v>
      </c>
      <c r="B345" s="2">
        <f>YEAR(Sales_Dataset[[#This Row],[Order Date]])</f>
        <v>2021</v>
      </c>
      <c r="C345" s="2">
        <f>MONTH(Sales_Dataset[[#This Row],[Order Date]])</f>
        <v>11</v>
      </c>
      <c r="D345" t="s">
        <v>374</v>
      </c>
      <c r="E345" t="s">
        <v>13</v>
      </c>
      <c r="F345" t="s">
        <v>24</v>
      </c>
      <c r="G345" t="s">
        <v>51</v>
      </c>
      <c r="H345" s="5">
        <v>4985</v>
      </c>
      <c r="I345">
        <v>10</v>
      </c>
      <c r="J345" s="5">
        <v>1920</v>
      </c>
    </row>
    <row r="346" spans="1:10" x14ac:dyDescent="0.35">
      <c r="A346" s="1">
        <v>44516</v>
      </c>
      <c r="B346" s="2">
        <f>YEAR(Sales_Dataset[[#This Row],[Order Date]])</f>
        <v>2021</v>
      </c>
      <c r="C346" s="2">
        <f>MONTH(Sales_Dataset[[#This Row],[Order Date]])</f>
        <v>11</v>
      </c>
      <c r="D346" t="s">
        <v>114</v>
      </c>
      <c r="E346" t="s">
        <v>9</v>
      </c>
      <c r="F346" t="s">
        <v>24</v>
      </c>
      <c r="G346" t="s">
        <v>25</v>
      </c>
      <c r="H346" s="5">
        <v>9835</v>
      </c>
      <c r="I346">
        <v>16</v>
      </c>
      <c r="J346" s="5">
        <v>2571</v>
      </c>
    </row>
    <row r="347" spans="1:10" x14ac:dyDescent="0.35">
      <c r="A347" s="1">
        <v>44516</v>
      </c>
      <c r="B347" s="2">
        <f>YEAR(Sales_Dataset[[#This Row],[Order Date]])</f>
        <v>2021</v>
      </c>
      <c r="C347" s="2">
        <f>MONTH(Sales_Dataset[[#This Row],[Order Date]])</f>
        <v>11</v>
      </c>
      <c r="D347" t="s">
        <v>114</v>
      </c>
      <c r="E347" t="s">
        <v>9</v>
      </c>
      <c r="F347" t="s">
        <v>18</v>
      </c>
      <c r="G347" t="s">
        <v>30</v>
      </c>
      <c r="H347" s="5">
        <v>9691</v>
      </c>
      <c r="I347">
        <v>13</v>
      </c>
      <c r="J347" s="5">
        <v>3056</v>
      </c>
    </row>
    <row r="348" spans="1:10" x14ac:dyDescent="0.35">
      <c r="A348" s="1">
        <v>44516</v>
      </c>
      <c r="B348" s="2">
        <f>YEAR(Sales_Dataset[[#This Row],[Order Date]])</f>
        <v>2021</v>
      </c>
      <c r="C348" s="2">
        <f>MONTH(Sales_Dataset[[#This Row],[Order Date]])</f>
        <v>11</v>
      </c>
      <c r="D348" t="s">
        <v>114</v>
      </c>
      <c r="E348" t="s">
        <v>9</v>
      </c>
      <c r="F348" t="s">
        <v>24</v>
      </c>
      <c r="G348" t="s">
        <v>51</v>
      </c>
      <c r="H348" s="5">
        <v>7826</v>
      </c>
      <c r="I348">
        <v>14</v>
      </c>
      <c r="J348" s="5">
        <v>1221</v>
      </c>
    </row>
    <row r="349" spans="1:10" x14ac:dyDescent="0.35">
      <c r="A349" s="1">
        <v>44516</v>
      </c>
      <c r="B349" s="2">
        <f>YEAR(Sales_Dataset[[#This Row],[Order Date]])</f>
        <v>2021</v>
      </c>
      <c r="C349" s="2">
        <f>MONTH(Sales_Dataset[[#This Row],[Order Date]])</f>
        <v>11</v>
      </c>
      <c r="D349" t="s">
        <v>459</v>
      </c>
      <c r="E349" t="s">
        <v>47</v>
      </c>
      <c r="F349" t="s">
        <v>10</v>
      </c>
      <c r="G349" t="s">
        <v>23</v>
      </c>
      <c r="H349" s="5">
        <v>1579</v>
      </c>
      <c r="I349">
        <v>9</v>
      </c>
      <c r="J349" s="5">
        <v>602</v>
      </c>
    </row>
    <row r="350" spans="1:10" x14ac:dyDescent="0.35">
      <c r="A350" s="1">
        <v>44516</v>
      </c>
      <c r="B350" s="2">
        <f>YEAR(Sales_Dataset[[#This Row],[Order Date]])</f>
        <v>2021</v>
      </c>
      <c r="C350" s="2">
        <f>MONTH(Sales_Dataset[[#This Row],[Order Date]])</f>
        <v>11</v>
      </c>
      <c r="D350" t="s">
        <v>459</v>
      </c>
      <c r="E350" t="s">
        <v>47</v>
      </c>
      <c r="F350" t="s">
        <v>24</v>
      </c>
      <c r="G350" t="s">
        <v>27</v>
      </c>
      <c r="H350" s="5">
        <v>3760</v>
      </c>
      <c r="I350">
        <v>19</v>
      </c>
      <c r="J350" s="5">
        <v>1849</v>
      </c>
    </row>
    <row r="351" spans="1:10" x14ac:dyDescent="0.35">
      <c r="A351" s="1">
        <v>44520</v>
      </c>
      <c r="B351" s="2">
        <f>YEAR(Sales_Dataset[[#This Row],[Order Date]])</f>
        <v>2021</v>
      </c>
      <c r="C351" s="2">
        <f>MONTH(Sales_Dataset[[#This Row],[Order Date]])</f>
        <v>11</v>
      </c>
      <c r="D351" t="s">
        <v>214</v>
      </c>
      <c r="E351" t="s">
        <v>15</v>
      </c>
      <c r="F351" t="s">
        <v>24</v>
      </c>
      <c r="G351" t="s">
        <v>31</v>
      </c>
      <c r="H351" s="5">
        <v>1314</v>
      </c>
      <c r="I351">
        <v>16</v>
      </c>
      <c r="J351" s="5">
        <v>490</v>
      </c>
    </row>
    <row r="352" spans="1:10" x14ac:dyDescent="0.35">
      <c r="A352" s="1">
        <v>44520</v>
      </c>
      <c r="B352" s="2">
        <f>YEAR(Sales_Dataset[[#This Row],[Order Date]])</f>
        <v>2021</v>
      </c>
      <c r="C352" s="2">
        <f>MONTH(Sales_Dataset[[#This Row],[Order Date]])</f>
        <v>11</v>
      </c>
      <c r="D352" t="s">
        <v>214</v>
      </c>
      <c r="E352" t="s">
        <v>15</v>
      </c>
      <c r="F352" t="s">
        <v>24</v>
      </c>
      <c r="G352" t="s">
        <v>25</v>
      </c>
      <c r="H352" s="5">
        <v>4390</v>
      </c>
      <c r="I352">
        <v>1</v>
      </c>
      <c r="J352" s="5">
        <v>179</v>
      </c>
    </row>
    <row r="353" spans="1:10" x14ac:dyDescent="0.35">
      <c r="A353" s="1">
        <v>44520</v>
      </c>
      <c r="B353" s="2">
        <f>YEAR(Sales_Dataset[[#This Row],[Order Date]])</f>
        <v>2021</v>
      </c>
      <c r="C353" s="2">
        <f>MONTH(Sales_Dataset[[#This Row],[Order Date]])</f>
        <v>11</v>
      </c>
      <c r="D353" t="s">
        <v>214</v>
      </c>
      <c r="E353" t="s">
        <v>15</v>
      </c>
      <c r="F353" t="s">
        <v>18</v>
      </c>
      <c r="G353" t="s">
        <v>39</v>
      </c>
      <c r="H353" s="5">
        <v>1150</v>
      </c>
      <c r="I353">
        <v>7</v>
      </c>
      <c r="J353" s="5">
        <v>58</v>
      </c>
    </row>
    <row r="354" spans="1:10" x14ac:dyDescent="0.35">
      <c r="A354" s="1">
        <v>44520</v>
      </c>
      <c r="B354" s="2">
        <f>YEAR(Sales_Dataset[[#This Row],[Order Date]])</f>
        <v>2021</v>
      </c>
      <c r="C354" s="2">
        <f>MONTH(Sales_Dataset[[#This Row],[Order Date]])</f>
        <v>11</v>
      </c>
      <c r="D354" t="s">
        <v>417</v>
      </c>
      <c r="E354" t="s">
        <v>13</v>
      </c>
      <c r="F354" t="s">
        <v>24</v>
      </c>
      <c r="G354" t="s">
        <v>31</v>
      </c>
      <c r="H354" s="5">
        <v>7441</v>
      </c>
      <c r="I354">
        <v>12</v>
      </c>
      <c r="J354" s="5">
        <v>867</v>
      </c>
    </row>
    <row r="355" spans="1:10" x14ac:dyDescent="0.35">
      <c r="A355" s="1">
        <v>44523</v>
      </c>
      <c r="B355" s="2">
        <f>YEAR(Sales_Dataset[[#This Row],[Order Date]])</f>
        <v>2021</v>
      </c>
      <c r="C355" s="2">
        <f>MONTH(Sales_Dataset[[#This Row],[Order Date]])</f>
        <v>11</v>
      </c>
      <c r="D355" t="s">
        <v>116</v>
      </c>
      <c r="E355" t="s">
        <v>36</v>
      </c>
      <c r="F355" t="s">
        <v>24</v>
      </c>
      <c r="G355" t="s">
        <v>31</v>
      </c>
      <c r="H355" s="5">
        <v>770</v>
      </c>
      <c r="I355">
        <v>11</v>
      </c>
      <c r="J355" s="5">
        <v>241</v>
      </c>
    </row>
    <row r="356" spans="1:10" x14ac:dyDescent="0.35">
      <c r="A356" s="1">
        <v>44524</v>
      </c>
      <c r="B356" s="2">
        <f>YEAR(Sales_Dataset[[#This Row],[Order Date]])</f>
        <v>2021</v>
      </c>
      <c r="C356" s="2">
        <f>MONTH(Sales_Dataset[[#This Row],[Order Date]])</f>
        <v>11</v>
      </c>
      <c r="D356" t="s">
        <v>737</v>
      </c>
      <c r="E356" t="s">
        <v>9</v>
      </c>
      <c r="F356" t="s">
        <v>18</v>
      </c>
      <c r="G356" t="s">
        <v>30</v>
      </c>
      <c r="H356" s="5">
        <v>8104</v>
      </c>
      <c r="I356">
        <v>6</v>
      </c>
      <c r="J356" s="5">
        <v>1039</v>
      </c>
    </row>
    <row r="357" spans="1:10" x14ac:dyDescent="0.35">
      <c r="A357" s="1">
        <v>44526</v>
      </c>
      <c r="B357" s="2">
        <f>YEAR(Sales_Dataset[[#This Row],[Order Date]])</f>
        <v>2021</v>
      </c>
      <c r="C357" s="2">
        <f>MONTH(Sales_Dataset[[#This Row],[Order Date]])</f>
        <v>11</v>
      </c>
      <c r="D357" t="s">
        <v>103</v>
      </c>
      <c r="E357" t="s">
        <v>36</v>
      </c>
      <c r="F357" t="s">
        <v>24</v>
      </c>
      <c r="G357" t="s">
        <v>25</v>
      </c>
      <c r="H357" s="5">
        <v>9768</v>
      </c>
      <c r="I357">
        <v>8</v>
      </c>
      <c r="J357" s="5">
        <v>4518</v>
      </c>
    </row>
    <row r="358" spans="1:10" x14ac:dyDescent="0.35">
      <c r="A358" s="1">
        <v>44526</v>
      </c>
      <c r="B358" s="2">
        <f>YEAR(Sales_Dataset[[#This Row],[Order Date]])</f>
        <v>2021</v>
      </c>
      <c r="C358" s="2">
        <f>MONTH(Sales_Dataset[[#This Row],[Order Date]])</f>
        <v>11</v>
      </c>
      <c r="D358" t="s">
        <v>103</v>
      </c>
      <c r="E358" t="s">
        <v>36</v>
      </c>
      <c r="F358" t="s">
        <v>24</v>
      </c>
      <c r="G358" t="s">
        <v>31</v>
      </c>
      <c r="H358" s="5">
        <v>4968</v>
      </c>
      <c r="I358">
        <v>5</v>
      </c>
      <c r="J358" s="5">
        <v>934</v>
      </c>
    </row>
    <row r="359" spans="1:10" x14ac:dyDescent="0.35">
      <c r="A359" s="1">
        <v>44526</v>
      </c>
      <c r="B359" s="2">
        <f>YEAR(Sales_Dataset[[#This Row],[Order Date]])</f>
        <v>2021</v>
      </c>
      <c r="C359" s="2">
        <f>MONTH(Sales_Dataset[[#This Row],[Order Date]])</f>
        <v>11</v>
      </c>
      <c r="D359" t="s">
        <v>103</v>
      </c>
      <c r="E359" t="s">
        <v>36</v>
      </c>
      <c r="F359" t="s">
        <v>10</v>
      </c>
      <c r="G359" t="s">
        <v>23</v>
      </c>
      <c r="H359" s="5">
        <v>1731</v>
      </c>
      <c r="I359">
        <v>4</v>
      </c>
      <c r="J359" s="5">
        <v>149</v>
      </c>
    </row>
    <row r="360" spans="1:10" x14ac:dyDescent="0.35">
      <c r="A360" s="1">
        <v>44527</v>
      </c>
      <c r="B360" s="2">
        <f>YEAR(Sales_Dataset[[#This Row],[Order Date]])</f>
        <v>2021</v>
      </c>
      <c r="C360" s="2">
        <f>MONTH(Sales_Dataset[[#This Row],[Order Date]])</f>
        <v>11</v>
      </c>
      <c r="D360" t="s">
        <v>660</v>
      </c>
      <c r="E360" t="s">
        <v>9</v>
      </c>
      <c r="F360" t="s">
        <v>24</v>
      </c>
      <c r="G360" t="s">
        <v>27</v>
      </c>
      <c r="H360" s="5">
        <v>1894</v>
      </c>
      <c r="I360">
        <v>5</v>
      </c>
      <c r="J360" s="5">
        <v>275</v>
      </c>
    </row>
    <row r="361" spans="1:10" x14ac:dyDescent="0.35">
      <c r="A361" s="1">
        <v>44527</v>
      </c>
      <c r="B361" s="2">
        <f>YEAR(Sales_Dataset[[#This Row],[Order Date]])</f>
        <v>2021</v>
      </c>
      <c r="C361" s="2">
        <f>MONTH(Sales_Dataset[[#This Row],[Order Date]])</f>
        <v>11</v>
      </c>
      <c r="D361" t="s">
        <v>660</v>
      </c>
      <c r="E361" t="s">
        <v>9</v>
      </c>
      <c r="F361" t="s">
        <v>10</v>
      </c>
      <c r="G361" t="s">
        <v>11</v>
      </c>
      <c r="H361" s="5">
        <v>7144</v>
      </c>
      <c r="I361">
        <v>13</v>
      </c>
      <c r="J361" s="5">
        <v>192</v>
      </c>
    </row>
    <row r="362" spans="1:10" x14ac:dyDescent="0.35">
      <c r="A362" s="1">
        <v>44529</v>
      </c>
      <c r="B362" s="2">
        <f>YEAR(Sales_Dataset[[#This Row],[Order Date]])</f>
        <v>2021</v>
      </c>
      <c r="C362" s="2">
        <f>MONTH(Sales_Dataset[[#This Row],[Order Date]])</f>
        <v>11</v>
      </c>
      <c r="D362" t="s">
        <v>396</v>
      </c>
      <c r="E362" t="s">
        <v>47</v>
      </c>
      <c r="F362" t="s">
        <v>10</v>
      </c>
      <c r="G362" t="s">
        <v>11</v>
      </c>
      <c r="H362" s="5">
        <v>7213</v>
      </c>
      <c r="I362">
        <v>19</v>
      </c>
      <c r="J362" s="5">
        <v>508</v>
      </c>
    </row>
    <row r="363" spans="1:10" x14ac:dyDescent="0.35">
      <c r="A363" s="1">
        <v>44529</v>
      </c>
      <c r="B363" s="2">
        <f>YEAR(Sales_Dataset[[#This Row],[Order Date]])</f>
        <v>2021</v>
      </c>
      <c r="C363" s="2">
        <f>MONTH(Sales_Dataset[[#This Row],[Order Date]])</f>
        <v>11</v>
      </c>
      <c r="D363" t="s">
        <v>396</v>
      </c>
      <c r="E363" t="s">
        <v>47</v>
      </c>
      <c r="F363" t="s">
        <v>24</v>
      </c>
      <c r="G363" t="s">
        <v>25</v>
      </c>
      <c r="H363" s="5">
        <v>3176</v>
      </c>
      <c r="I363">
        <v>9</v>
      </c>
      <c r="J363" s="5">
        <v>586</v>
      </c>
    </row>
    <row r="364" spans="1:10" x14ac:dyDescent="0.35">
      <c r="A364" s="1">
        <v>44531</v>
      </c>
      <c r="B364" s="2">
        <f>YEAR(Sales_Dataset[[#This Row],[Order Date]])</f>
        <v>2021</v>
      </c>
      <c r="C364" s="2">
        <f>MONTH(Sales_Dataset[[#This Row],[Order Date]])</f>
        <v>12</v>
      </c>
      <c r="D364" t="s">
        <v>559</v>
      </c>
      <c r="E364" t="s">
        <v>36</v>
      </c>
      <c r="F364" t="s">
        <v>18</v>
      </c>
      <c r="G364" t="s">
        <v>30</v>
      </c>
      <c r="H364" s="5">
        <v>5196</v>
      </c>
      <c r="I364">
        <v>1</v>
      </c>
      <c r="J364" s="5">
        <v>2477</v>
      </c>
    </row>
    <row r="365" spans="1:10" x14ac:dyDescent="0.35">
      <c r="A365" s="1">
        <v>44531</v>
      </c>
      <c r="B365" s="2">
        <f>YEAR(Sales_Dataset[[#This Row],[Order Date]])</f>
        <v>2021</v>
      </c>
      <c r="C365" s="2">
        <f>MONTH(Sales_Dataset[[#This Row],[Order Date]])</f>
        <v>12</v>
      </c>
      <c r="D365" t="s">
        <v>559</v>
      </c>
      <c r="E365" t="s">
        <v>36</v>
      </c>
      <c r="F365" t="s">
        <v>24</v>
      </c>
      <c r="G365" t="s">
        <v>51</v>
      </c>
      <c r="H365" s="5">
        <v>6586</v>
      </c>
      <c r="I365">
        <v>19</v>
      </c>
      <c r="J365" s="5">
        <v>1794</v>
      </c>
    </row>
    <row r="366" spans="1:10" x14ac:dyDescent="0.35">
      <c r="A366" s="1">
        <v>44533</v>
      </c>
      <c r="B366" s="2">
        <f>YEAR(Sales_Dataset[[#This Row],[Order Date]])</f>
        <v>2021</v>
      </c>
      <c r="C366" s="2">
        <f>MONTH(Sales_Dataset[[#This Row],[Order Date]])</f>
        <v>12</v>
      </c>
      <c r="D366" t="s">
        <v>297</v>
      </c>
      <c r="E366" t="s">
        <v>15</v>
      </c>
      <c r="F366" t="s">
        <v>18</v>
      </c>
      <c r="G366" t="s">
        <v>30</v>
      </c>
      <c r="H366" s="5">
        <v>6255</v>
      </c>
      <c r="I366">
        <v>18</v>
      </c>
      <c r="J366" s="5">
        <v>437</v>
      </c>
    </row>
    <row r="367" spans="1:10" x14ac:dyDescent="0.35">
      <c r="A367" s="1">
        <v>44533</v>
      </c>
      <c r="B367" s="2">
        <f>YEAR(Sales_Dataset[[#This Row],[Order Date]])</f>
        <v>2021</v>
      </c>
      <c r="C367" s="2">
        <f>MONTH(Sales_Dataset[[#This Row],[Order Date]])</f>
        <v>12</v>
      </c>
      <c r="D367" t="s">
        <v>297</v>
      </c>
      <c r="E367" t="s">
        <v>15</v>
      </c>
      <c r="F367" t="s">
        <v>10</v>
      </c>
      <c r="G367" t="s">
        <v>11</v>
      </c>
      <c r="H367" s="5">
        <v>2109</v>
      </c>
      <c r="I367">
        <v>20</v>
      </c>
      <c r="J367" s="5">
        <v>681</v>
      </c>
    </row>
    <row r="368" spans="1:10" x14ac:dyDescent="0.35">
      <c r="A368" s="1">
        <v>44535</v>
      </c>
      <c r="B368" s="2">
        <f>YEAR(Sales_Dataset[[#This Row],[Order Date]])</f>
        <v>2021</v>
      </c>
      <c r="C368" s="2">
        <f>MONTH(Sales_Dataset[[#This Row],[Order Date]])</f>
        <v>12</v>
      </c>
      <c r="D368" t="s">
        <v>123</v>
      </c>
      <c r="E368" t="s">
        <v>9</v>
      </c>
      <c r="F368" t="s">
        <v>18</v>
      </c>
      <c r="G368" t="s">
        <v>33</v>
      </c>
      <c r="H368" s="5">
        <v>7340</v>
      </c>
      <c r="I368">
        <v>8</v>
      </c>
      <c r="J368" s="5">
        <v>2271</v>
      </c>
    </row>
    <row r="369" spans="1:10" x14ac:dyDescent="0.35">
      <c r="A369" s="1">
        <v>44535</v>
      </c>
      <c r="B369" s="2">
        <f>YEAR(Sales_Dataset[[#This Row],[Order Date]])</f>
        <v>2021</v>
      </c>
      <c r="C369" s="2">
        <f>MONTH(Sales_Dataset[[#This Row],[Order Date]])</f>
        <v>12</v>
      </c>
      <c r="D369" t="s">
        <v>123</v>
      </c>
      <c r="E369" t="s">
        <v>9</v>
      </c>
      <c r="F369" t="s">
        <v>10</v>
      </c>
      <c r="G369" t="s">
        <v>41</v>
      </c>
      <c r="H369" s="5">
        <v>5442</v>
      </c>
      <c r="I369">
        <v>1</v>
      </c>
      <c r="J369" s="5">
        <v>1610</v>
      </c>
    </row>
    <row r="370" spans="1:10" x14ac:dyDescent="0.35">
      <c r="A370" s="1">
        <v>44537</v>
      </c>
      <c r="B370" s="2">
        <f>YEAR(Sales_Dataset[[#This Row],[Order Date]])</f>
        <v>2021</v>
      </c>
      <c r="C370" s="2">
        <f>MONTH(Sales_Dataset[[#This Row],[Order Date]])</f>
        <v>12</v>
      </c>
      <c r="D370" t="s">
        <v>438</v>
      </c>
      <c r="E370" t="s">
        <v>15</v>
      </c>
      <c r="F370" t="s">
        <v>24</v>
      </c>
      <c r="G370" t="s">
        <v>27</v>
      </c>
      <c r="H370" s="5">
        <v>1397</v>
      </c>
      <c r="I370">
        <v>11</v>
      </c>
      <c r="J370" s="5">
        <v>686</v>
      </c>
    </row>
    <row r="371" spans="1:10" x14ac:dyDescent="0.35">
      <c r="A371" s="1">
        <v>44537</v>
      </c>
      <c r="B371" s="2">
        <f>YEAR(Sales_Dataset[[#This Row],[Order Date]])</f>
        <v>2021</v>
      </c>
      <c r="C371" s="2">
        <f>MONTH(Sales_Dataset[[#This Row],[Order Date]])</f>
        <v>12</v>
      </c>
      <c r="D371" t="s">
        <v>791</v>
      </c>
      <c r="E371" t="s">
        <v>36</v>
      </c>
      <c r="F371" t="s">
        <v>24</v>
      </c>
      <c r="G371" t="s">
        <v>31</v>
      </c>
      <c r="H371" s="5">
        <v>4897</v>
      </c>
      <c r="I371">
        <v>14</v>
      </c>
      <c r="J371" s="5">
        <v>1001</v>
      </c>
    </row>
    <row r="372" spans="1:10" x14ac:dyDescent="0.35">
      <c r="A372" s="1">
        <v>44542</v>
      </c>
      <c r="B372" s="2">
        <f>YEAR(Sales_Dataset[[#This Row],[Order Date]])</f>
        <v>2021</v>
      </c>
      <c r="C372" s="2">
        <f>MONTH(Sales_Dataset[[#This Row],[Order Date]])</f>
        <v>12</v>
      </c>
      <c r="D372" t="s">
        <v>88</v>
      </c>
      <c r="E372" t="s">
        <v>22</v>
      </c>
      <c r="F372" t="s">
        <v>10</v>
      </c>
      <c r="G372" t="s">
        <v>23</v>
      </c>
      <c r="H372" s="5">
        <v>5704</v>
      </c>
      <c r="I372">
        <v>13</v>
      </c>
      <c r="J372" s="5">
        <v>714</v>
      </c>
    </row>
    <row r="373" spans="1:10" x14ac:dyDescent="0.35">
      <c r="A373" s="1">
        <v>44542</v>
      </c>
      <c r="B373" s="2">
        <f>YEAR(Sales_Dataset[[#This Row],[Order Date]])</f>
        <v>2021</v>
      </c>
      <c r="C373" s="2">
        <f>MONTH(Sales_Dataset[[#This Row],[Order Date]])</f>
        <v>12</v>
      </c>
      <c r="D373" t="s">
        <v>88</v>
      </c>
      <c r="E373" t="s">
        <v>22</v>
      </c>
      <c r="F373" t="s">
        <v>24</v>
      </c>
      <c r="G373" t="s">
        <v>25</v>
      </c>
      <c r="H373" s="5">
        <v>8797</v>
      </c>
      <c r="I373">
        <v>8</v>
      </c>
      <c r="J373" s="5">
        <v>1010</v>
      </c>
    </row>
    <row r="374" spans="1:10" x14ac:dyDescent="0.35">
      <c r="A374" s="1">
        <v>44542</v>
      </c>
      <c r="B374" s="2">
        <f>YEAR(Sales_Dataset[[#This Row],[Order Date]])</f>
        <v>2021</v>
      </c>
      <c r="C374" s="2">
        <f>MONTH(Sales_Dataset[[#This Row],[Order Date]])</f>
        <v>12</v>
      </c>
      <c r="D374" t="s">
        <v>88</v>
      </c>
      <c r="E374" t="s">
        <v>22</v>
      </c>
      <c r="F374" t="s">
        <v>10</v>
      </c>
      <c r="G374" t="s">
        <v>23</v>
      </c>
      <c r="H374" s="5">
        <v>9236</v>
      </c>
      <c r="I374">
        <v>5</v>
      </c>
      <c r="J374" s="5">
        <v>2899</v>
      </c>
    </row>
    <row r="375" spans="1:10" x14ac:dyDescent="0.35">
      <c r="A375" s="1">
        <v>44543</v>
      </c>
      <c r="B375" s="2">
        <f>YEAR(Sales_Dataset[[#This Row],[Order Date]])</f>
        <v>2021</v>
      </c>
      <c r="C375" s="2">
        <f>MONTH(Sales_Dataset[[#This Row],[Order Date]])</f>
        <v>12</v>
      </c>
      <c r="D375" t="s">
        <v>724</v>
      </c>
      <c r="E375" t="s">
        <v>22</v>
      </c>
      <c r="F375" t="s">
        <v>24</v>
      </c>
      <c r="G375" t="s">
        <v>51</v>
      </c>
      <c r="H375" s="5">
        <v>6724</v>
      </c>
      <c r="I375">
        <v>19</v>
      </c>
      <c r="J375" s="5">
        <v>1539</v>
      </c>
    </row>
    <row r="376" spans="1:10" x14ac:dyDescent="0.35">
      <c r="A376" s="1">
        <v>44544</v>
      </c>
      <c r="B376" s="2">
        <f>YEAR(Sales_Dataset[[#This Row],[Order Date]])</f>
        <v>2021</v>
      </c>
      <c r="C376" s="2">
        <f>MONTH(Sales_Dataset[[#This Row],[Order Date]])</f>
        <v>12</v>
      </c>
      <c r="D376" t="s">
        <v>439</v>
      </c>
      <c r="E376" t="s">
        <v>15</v>
      </c>
      <c r="F376" t="s">
        <v>24</v>
      </c>
      <c r="G376" t="s">
        <v>27</v>
      </c>
      <c r="H376" s="5">
        <v>9279</v>
      </c>
      <c r="I376">
        <v>14</v>
      </c>
      <c r="J376" s="5">
        <v>552</v>
      </c>
    </row>
    <row r="377" spans="1:10" x14ac:dyDescent="0.35">
      <c r="A377" s="1">
        <v>44544</v>
      </c>
      <c r="B377" s="2">
        <f>YEAR(Sales_Dataset[[#This Row],[Order Date]])</f>
        <v>2021</v>
      </c>
      <c r="C377" s="2">
        <f>MONTH(Sales_Dataset[[#This Row],[Order Date]])</f>
        <v>12</v>
      </c>
      <c r="D377" t="s">
        <v>439</v>
      </c>
      <c r="E377" t="s">
        <v>15</v>
      </c>
      <c r="F377" t="s">
        <v>18</v>
      </c>
      <c r="G377" t="s">
        <v>33</v>
      </c>
      <c r="H377" s="5">
        <v>2596</v>
      </c>
      <c r="I377">
        <v>19</v>
      </c>
      <c r="J377" s="5">
        <v>1003</v>
      </c>
    </row>
    <row r="378" spans="1:10" x14ac:dyDescent="0.35">
      <c r="A378" s="1">
        <v>44547</v>
      </c>
      <c r="B378" s="2">
        <f>YEAR(Sales_Dataset[[#This Row],[Order Date]])</f>
        <v>2021</v>
      </c>
      <c r="C378" s="2">
        <f>MONTH(Sales_Dataset[[#This Row],[Order Date]])</f>
        <v>12</v>
      </c>
      <c r="D378" t="s">
        <v>43</v>
      </c>
      <c r="E378" t="s">
        <v>15</v>
      </c>
      <c r="F378" t="s">
        <v>18</v>
      </c>
      <c r="G378" t="s">
        <v>39</v>
      </c>
      <c r="H378" s="5">
        <v>5219</v>
      </c>
      <c r="I378">
        <v>20</v>
      </c>
      <c r="J378" s="5">
        <v>1180</v>
      </c>
    </row>
    <row r="379" spans="1:10" x14ac:dyDescent="0.35">
      <c r="A379" s="1">
        <v>44552</v>
      </c>
      <c r="B379" s="2">
        <f>YEAR(Sales_Dataset[[#This Row],[Order Date]])</f>
        <v>2021</v>
      </c>
      <c r="C379" s="2">
        <f>MONTH(Sales_Dataset[[#This Row],[Order Date]])</f>
        <v>12</v>
      </c>
      <c r="D379" t="s">
        <v>300</v>
      </c>
      <c r="E379" t="s">
        <v>22</v>
      </c>
      <c r="F379" t="s">
        <v>18</v>
      </c>
      <c r="G379" t="s">
        <v>19</v>
      </c>
      <c r="H379" s="5">
        <v>975</v>
      </c>
      <c r="I379">
        <v>18</v>
      </c>
      <c r="J379" s="5">
        <v>224</v>
      </c>
    </row>
    <row r="380" spans="1:10" x14ac:dyDescent="0.35">
      <c r="A380" s="1">
        <v>44552</v>
      </c>
      <c r="B380" s="2">
        <f>YEAR(Sales_Dataset[[#This Row],[Order Date]])</f>
        <v>2021</v>
      </c>
      <c r="C380" s="2">
        <f>MONTH(Sales_Dataset[[#This Row],[Order Date]])</f>
        <v>12</v>
      </c>
      <c r="D380" t="s">
        <v>300</v>
      </c>
      <c r="E380" t="s">
        <v>22</v>
      </c>
      <c r="F380" t="s">
        <v>24</v>
      </c>
      <c r="G380" t="s">
        <v>25</v>
      </c>
      <c r="H380" s="5">
        <v>4492</v>
      </c>
      <c r="I380">
        <v>7</v>
      </c>
      <c r="J380" s="5">
        <v>1450</v>
      </c>
    </row>
    <row r="381" spans="1:10" x14ac:dyDescent="0.35">
      <c r="A381" s="1">
        <v>44552</v>
      </c>
      <c r="B381" s="2">
        <f>YEAR(Sales_Dataset[[#This Row],[Order Date]])</f>
        <v>2021</v>
      </c>
      <c r="C381" s="2">
        <f>MONTH(Sales_Dataset[[#This Row],[Order Date]])</f>
        <v>12</v>
      </c>
      <c r="D381" t="s">
        <v>300</v>
      </c>
      <c r="E381" t="s">
        <v>22</v>
      </c>
      <c r="F381" t="s">
        <v>24</v>
      </c>
      <c r="G381" t="s">
        <v>27</v>
      </c>
      <c r="H381" s="5">
        <v>7957</v>
      </c>
      <c r="I381">
        <v>12</v>
      </c>
      <c r="J381" s="5">
        <v>2834</v>
      </c>
    </row>
    <row r="382" spans="1:10" x14ac:dyDescent="0.35">
      <c r="A382" s="1">
        <v>44554</v>
      </c>
      <c r="B382" s="2">
        <f>YEAR(Sales_Dataset[[#This Row],[Order Date]])</f>
        <v>2021</v>
      </c>
      <c r="C382" s="2">
        <f>MONTH(Sales_Dataset[[#This Row],[Order Date]])</f>
        <v>12</v>
      </c>
      <c r="D382" t="s">
        <v>363</v>
      </c>
      <c r="E382" t="s">
        <v>9</v>
      </c>
      <c r="F382" t="s">
        <v>24</v>
      </c>
      <c r="G382" t="s">
        <v>25</v>
      </c>
      <c r="H382" s="5">
        <v>4852</v>
      </c>
      <c r="I382">
        <v>2</v>
      </c>
      <c r="J382" s="5">
        <v>218</v>
      </c>
    </row>
    <row r="383" spans="1:10" x14ac:dyDescent="0.35">
      <c r="A383" s="1">
        <v>44555</v>
      </c>
      <c r="B383" s="2">
        <f>YEAR(Sales_Dataset[[#This Row],[Order Date]])</f>
        <v>2021</v>
      </c>
      <c r="C383" s="2">
        <f>MONTH(Sales_Dataset[[#This Row],[Order Date]])</f>
        <v>12</v>
      </c>
      <c r="D383" t="s">
        <v>586</v>
      </c>
      <c r="E383" t="s">
        <v>47</v>
      </c>
      <c r="F383" t="s">
        <v>18</v>
      </c>
      <c r="G383" t="s">
        <v>19</v>
      </c>
      <c r="H383" s="5">
        <v>7105</v>
      </c>
      <c r="I383">
        <v>19</v>
      </c>
      <c r="J383" s="5">
        <v>2782</v>
      </c>
    </row>
    <row r="384" spans="1:10" x14ac:dyDescent="0.35">
      <c r="A384" s="1">
        <v>44558</v>
      </c>
      <c r="B384" s="2">
        <f>YEAR(Sales_Dataset[[#This Row],[Order Date]])</f>
        <v>2021</v>
      </c>
      <c r="C384" s="2">
        <f>MONTH(Sales_Dataset[[#This Row],[Order Date]])</f>
        <v>12</v>
      </c>
      <c r="D384" t="s">
        <v>393</v>
      </c>
      <c r="E384" t="s">
        <v>47</v>
      </c>
      <c r="F384" t="s">
        <v>24</v>
      </c>
      <c r="G384" t="s">
        <v>31</v>
      </c>
      <c r="H384" s="5">
        <v>3024</v>
      </c>
      <c r="I384">
        <v>1</v>
      </c>
      <c r="J384" s="5">
        <v>1353</v>
      </c>
    </row>
    <row r="385" spans="1:10" x14ac:dyDescent="0.35">
      <c r="A385" s="1">
        <v>44559</v>
      </c>
      <c r="B385" s="2">
        <f>YEAR(Sales_Dataset[[#This Row],[Order Date]])</f>
        <v>2021</v>
      </c>
      <c r="C385" s="2">
        <f>MONTH(Sales_Dataset[[#This Row],[Order Date]])</f>
        <v>12</v>
      </c>
      <c r="D385" t="s">
        <v>441</v>
      </c>
      <c r="E385" t="s">
        <v>15</v>
      </c>
      <c r="F385" t="s">
        <v>24</v>
      </c>
      <c r="G385" t="s">
        <v>51</v>
      </c>
      <c r="H385" s="5">
        <v>6732</v>
      </c>
      <c r="I385">
        <v>19</v>
      </c>
      <c r="J385" s="5">
        <v>911</v>
      </c>
    </row>
    <row r="386" spans="1:10" x14ac:dyDescent="0.35">
      <c r="A386" s="1">
        <v>44559</v>
      </c>
      <c r="B386" s="2">
        <f>YEAR(Sales_Dataset[[#This Row],[Order Date]])</f>
        <v>2021</v>
      </c>
      <c r="C386" s="2">
        <f>MONTH(Sales_Dataset[[#This Row],[Order Date]])</f>
        <v>12</v>
      </c>
      <c r="D386" t="s">
        <v>441</v>
      </c>
      <c r="E386" t="s">
        <v>15</v>
      </c>
      <c r="F386" t="s">
        <v>18</v>
      </c>
      <c r="G386" t="s">
        <v>19</v>
      </c>
      <c r="H386" s="5">
        <v>4495</v>
      </c>
      <c r="I386">
        <v>14</v>
      </c>
      <c r="J386" s="5">
        <v>1408</v>
      </c>
    </row>
    <row r="387" spans="1:10" x14ac:dyDescent="0.35">
      <c r="A387" s="1">
        <v>44561</v>
      </c>
      <c r="B387" s="2">
        <f>YEAR(Sales_Dataset[[#This Row],[Order Date]])</f>
        <v>2021</v>
      </c>
      <c r="C387" s="2">
        <f>MONTH(Sales_Dataset[[#This Row],[Order Date]])</f>
        <v>12</v>
      </c>
      <c r="D387" t="s">
        <v>203</v>
      </c>
      <c r="E387" t="s">
        <v>36</v>
      </c>
      <c r="F387" t="s">
        <v>10</v>
      </c>
      <c r="G387" t="s">
        <v>11</v>
      </c>
      <c r="H387" s="5">
        <v>1281</v>
      </c>
      <c r="I387">
        <v>3</v>
      </c>
      <c r="J387" s="5">
        <v>340</v>
      </c>
    </row>
    <row r="388" spans="1:10" x14ac:dyDescent="0.35">
      <c r="A388" s="1">
        <v>44561</v>
      </c>
      <c r="B388" s="2">
        <f>YEAR(Sales_Dataset[[#This Row],[Order Date]])</f>
        <v>2021</v>
      </c>
      <c r="C388" s="2">
        <f>MONTH(Sales_Dataset[[#This Row],[Order Date]])</f>
        <v>12</v>
      </c>
      <c r="D388" t="s">
        <v>203</v>
      </c>
      <c r="E388" t="s">
        <v>36</v>
      </c>
      <c r="F388" t="s">
        <v>10</v>
      </c>
      <c r="G388" t="s">
        <v>23</v>
      </c>
      <c r="H388" s="5">
        <v>2404</v>
      </c>
      <c r="I388">
        <v>15</v>
      </c>
      <c r="J388" s="5">
        <v>253</v>
      </c>
    </row>
    <row r="389" spans="1:10" x14ac:dyDescent="0.35">
      <c r="A389" s="1">
        <v>44561</v>
      </c>
      <c r="B389" s="2">
        <f>YEAR(Sales_Dataset[[#This Row],[Order Date]])</f>
        <v>2021</v>
      </c>
      <c r="C389" s="2">
        <f>MONTH(Sales_Dataset[[#This Row],[Order Date]])</f>
        <v>12</v>
      </c>
      <c r="D389" t="s">
        <v>728</v>
      </c>
      <c r="E389" t="s">
        <v>15</v>
      </c>
      <c r="F389" t="s">
        <v>18</v>
      </c>
      <c r="G389" t="s">
        <v>33</v>
      </c>
      <c r="H389" s="5">
        <v>3189</v>
      </c>
      <c r="I389">
        <v>19</v>
      </c>
      <c r="J389" s="5">
        <v>1180</v>
      </c>
    </row>
    <row r="390" spans="1:10" x14ac:dyDescent="0.35">
      <c r="A390" s="1">
        <v>44563</v>
      </c>
      <c r="B390" s="2">
        <f>YEAR(Sales_Dataset[[#This Row],[Order Date]])</f>
        <v>2022</v>
      </c>
      <c r="C390" s="2">
        <f>MONTH(Sales_Dataset[[#This Row],[Order Date]])</f>
        <v>1</v>
      </c>
      <c r="D390" t="s">
        <v>112</v>
      </c>
      <c r="E390" t="s">
        <v>36</v>
      </c>
      <c r="F390" t="s">
        <v>10</v>
      </c>
      <c r="G390" t="s">
        <v>23</v>
      </c>
      <c r="H390" s="5">
        <v>706</v>
      </c>
      <c r="I390">
        <v>11</v>
      </c>
      <c r="J390" s="5">
        <v>197</v>
      </c>
    </row>
    <row r="391" spans="1:10" x14ac:dyDescent="0.35">
      <c r="A391" s="1">
        <v>44565</v>
      </c>
      <c r="B391" s="2">
        <f>YEAR(Sales_Dataset[[#This Row],[Order Date]])</f>
        <v>2022</v>
      </c>
      <c r="C391" s="2">
        <f>MONTH(Sales_Dataset[[#This Row],[Order Date]])</f>
        <v>1</v>
      </c>
      <c r="D391" t="s">
        <v>391</v>
      </c>
      <c r="E391" t="s">
        <v>9</v>
      </c>
      <c r="F391" t="s">
        <v>24</v>
      </c>
      <c r="G391" t="s">
        <v>27</v>
      </c>
      <c r="H391" s="5">
        <v>5410</v>
      </c>
      <c r="I391">
        <v>8</v>
      </c>
      <c r="J391" s="5">
        <v>2456</v>
      </c>
    </row>
    <row r="392" spans="1:10" x14ac:dyDescent="0.35">
      <c r="A392" s="1">
        <v>44566</v>
      </c>
      <c r="B392" s="2">
        <f>YEAR(Sales_Dataset[[#This Row],[Order Date]])</f>
        <v>2022</v>
      </c>
      <c r="C392" s="2">
        <f>MONTH(Sales_Dataset[[#This Row],[Order Date]])</f>
        <v>1</v>
      </c>
      <c r="D392" t="s">
        <v>54</v>
      </c>
      <c r="E392" t="s">
        <v>47</v>
      </c>
      <c r="F392" t="s">
        <v>18</v>
      </c>
      <c r="G392" t="s">
        <v>39</v>
      </c>
      <c r="H392" s="5">
        <v>8293</v>
      </c>
      <c r="I392">
        <v>8</v>
      </c>
      <c r="J392" s="5">
        <v>2632</v>
      </c>
    </row>
    <row r="393" spans="1:10" x14ac:dyDescent="0.35">
      <c r="A393" s="1">
        <v>44566</v>
      </c>
      <c r="B393" s="2">
        <f>YEAR(Sales_Dataset[[#This Row],[Order Date]])</f>
        <v>2022</v>
      </c>
      <c r="C393" s="2">
        <f>MONTH(Sales_Dataset[[#This Row],[Order Date]])</f>
        <v>1</v>
      </c>
      <c r="D393" t="s">
        <v>54</v>
      </c>
      <c r="E393" t="s">
        <v>47</v>
      </c>
      <c r="F393" t="s">
        <v>10</v>
      </c>
      <c r="G393" t="s">
        <v>41</v>
      </c>
      <c r="H393" s="5">
        <v>2863</v>
      </c>
      <c r="I393">
        <v>17</v>
      </c>
      <c r="J393" s="5">
        <v>205</v>
      </c>
    </row>
    <row r="394" spans="1:10" x14ac:dyDescent="0.35">
      <c r="A394" s="1">
        <v>44569</v>
      </c>
      <c r="B394" s="2">
        <f>YEAR(Sales_Dataset[[#This Row],[Order Date]])</f>
        <v>2022</v>
      </c>
      <c r="C394" s="2">
        <f>MONTH(Sales_Dataset[[#This Row],[Order Date]])</f>
        <v>1</v>
      </c>
      <c r="D394" t="s">
        <v>692</v>
      </c>
      <c r="E394" t="s">
        <v>13</v>
      </c>
      <c r="F394" t="s">
        <v>24</v>
      </c>
      <c r="G394" t="s">
        <v>25</v>
      </c>
      <c r="H394" s="5">
        <v>8752</v>
      </c>
      <c r="I394">
        <v>9</v>
      </c>
      <c r="J394" s="5">
        <v>1686</v>
      </c>
    </row>
    <row r="395" spans="1:10" x14ac:dyDescent="0.35">
      <c r="A395" s="1">
        <v>44571</v>
      </c>
      <c r="B395" s="2">
        <f>YEAR(Sales_Dataset[[#This Row],[Order Date]])</f>
        <v>2022</v>
      </c>
      <c r="C395" s="2">
        <f>MONTH(Sales_Dataset[[#This Row],[Order Date]])</f>
        <v>1</v>
      </c>
      <c r="D395" t="s">
        <v>670</v>
      </c>
      <c r="E395" t="s">
        <v>9</v>
      </c>
      <c r="F395" t="s">
        <v>10</v>
      </c>
      <c r="G395" t="s">
        <v>16</v>
      </c>
      <c r="H395" s="5">
        <v>9215</v>
      </c>
      <c r="I395">
        <v>13</v>
      </c>
      <c r="J395" s="5">
        <v>767</v>
      </c>
    </row>
    <row r="396" spans="1:10" x14ac:dyDescent="0.35">
      <c r="A396" s="1">
        <v>44572</v>
      </c>
      <c r="B396" s="2">
        <f>YEAR(Sales_Dataset[[#This Row],[Order Date]])</f>
        <v>2022</v>
      </c>
      <c r="C396" s="2">
        <f>MONTH(Sales_Dataset[[#This Row],[Order Date]])</f>
        <v>1</v>
      </c>
      <c r="D396" t="s">
        <v>351</v>
      </c>
      <c r="E396" t="s">
        <v>36</v>
      </c>
      <c r="F396" t="s">
        <v>18</v>
      </c>
      <c r="G396" t="s">
        <v>19</v>
      </c>
      <c r="H396" s="5">
        <v>3022</v>
      </c>
      <c r="I396">
        <v>1</v>
      </c>
      <c r="J396" s="5">
        <v>384</v>
      </c>
    </row>
    <row r="397" spans="1:10" x14ac:dyDescent="0.35">
      <c r="A397" s="1">
        <v>44572</v>
      </c>
      <c r="B397" s="2">
        <f>YEAR(Sales_Dataset[[#This Row],[Order Date]])</f>
        <v>2022</v>
      </c>
      <c r="C397" s="2">
        <f>MONTH(Sales_Dataset[[#This Row],[Order Date]])</f>
        <v>1</v>
      </c>
      <c r="D397" t="s">
        <v>351</v>
      </c>
      <c r="E397" t="s">
        <v>36</v>
      </c>
      <c r="F397" t="s">
        <v>10</v>
      </c>
      <c r="G397" t="s">
        <v>11</v>
      </c>
      <c r="H397" s="5">
        <v>5266</v>
      </c>
      <c r="I397">
        <v>13</v>
      </c>
      <c r="J397" s="5">
        <v>1111</v>
      </c>
    </row>
    <row r="398" spans="1:10" x14ac:dyDescent="0.35">
      <c r="A398" s="1">
        <v>44574</v>
      </c>
      <c r="B398" s="2">
        <f>YEAR(Sales_Dataset[[#This Row],[Order Date]])</f>
        <v>2022</v>
      </c>
      <c r="C398" s="2">
        <f>MONTH(Sales_Dataset[[#This Row],[Order Date]])</f>
        <v>1</v>
      </c>
      <c r="D398" t="s">
        <v>751</v>
      </c>
      <c r="E398" t="s">
        <v>36</v>
      </c>
      <c r="F398" t="s">
        <v>18</v>
      </c>
      <c r="G398" t="s">
        <v>30</v>
      </c>
      <c r="H398" s="5">
        <v>9909</v>
      </c>
      <c r="I398">
        <v>18</v>
      </c>
      <c r="J398" s="5">
        <v>2999</v>
      </c>
    </row>
    <row r="399" spans="1:10" x14ac:dyDescent="0.35">
      <c r="A399" s="1">
        <v>44575</v>
      </c>
      <c r="B399" s="2">
        <f>YEAR(Sales_Dataset[[#This Row],[Order Date]])</f>
        <v>2022</v>
      </c>
      <c r="C399" s="2">
        <f>MONTH(Sales_Dataset[[#This Row],[Order Date]])</f>
        <v>1</v>
      </c>
      <c r="D399" t="s">
        <v>249</v>
      </c>
      <c r="E399" t="s">
        <v>22</v>
      </c>
      <c r="F399" t="s">
        <v>18</v>
      </c>
      <c r="G399" t="s">
        <v>19</v>
      </c>
      <c r="H399" s="5">
        <v>3522</v>
      </c>
      <c r="I399">
        <v>15</v>
      </c>
      <c r="J399" s="5">
        <v>898</v>
      </c>
    </row>
    <row r="400" spans="1:10" x14ac:dyDescent="0.35">
      <c r="A400" s="1">
        <v>44575</v>
      </c>
      <c r="B400" s="2">
        <f>YEAR(Sales_Dataset[[#This Row],[Order Date]])</f>
        <v>2022</v>
      </c>
      <c r="C400" s="2">
        <f>MONTH(Sales_Dataset[[#This Row],[Order Date]])</f>
        <v>1</v>
      </c>
      <c r="D400" t="s">
        <v>274</v>
      </c>
      <c r="E400" t="s">
        <v>15</v>
      </c>
      <c r="F400" t="s">
        <v>18</v>
      </c>
      <c r="G400" t="s">
        <v>39</v>
      </c>
      <c r="H400" s="5">
        <v>8438</v>
      </c>
      <c r="I400">
        <v>12</v>
      </c>
      <c r="J400" s="5">
        <v>3427</v>
      </c>
    </row>
    <row r="401" spans="1:10" x14ac:dyDescent="0.35">
      <c r="A401" s="1">
        <v>44575</v>
      </c>
      <c r="B401" s="2">
        <f>YEAR(Sales_Dataset[[#This Row],[Order Date]])</f>
        <v>2022</v>
      </c>
      <c r="C401" s="2">
        <f>MONTH(Sales_Dataset[[#This Row],[Order Date]])</f>
        <v>1</v>
      </c>
      <c r="D401" t="s">
        <v>274</v>
      </c>
      <c r="E401" t="s">
        <v>15</v>
      </c>
      <c r="F401" t="s">
        <v>10</v>
      </c>
      <c r="G401" t="s">
        <v>11</v>
      </c>
      <c r="H401" s="5">
        <v>1689</v>
      </c>
      <c r="I401">
        <v>9</v>
      </c>
      <c r="J401" s="5">
        <v>109</v>
      </c>
    </row>
    <row r="402" spans="1:10" x14ac:dyDescent="0.35">
      <c r="A402" s="1">
        <v>44575</v>
      </c>
      <c r="B402" s="2">
        <f>YEAR(Sales_Dataset[[#This Row],[Order Date]])</f>
        <v>2022</v>
      </c>
      <c r="C402" s="2">
        <f>MONTH(Sales_Dataset[[#This Row],[Order Date]])</f>
        <v>1</v>
      </c>
      <c r="D402" t="s">
        <v>274</v>
      </c>
      <c r="E402" t="s">
        <v>15</v>
      </c>
      <c r="F402" t="s">
        <v>18</v>
      </c>
      <c r="G402" t="s">
        <v>33</v>
      </c>
      <c r="H402" s="5">
        <v>3936</v>
      </c>
      <c r="I402">
        <v>14</v>
      </c>
      <c r="J402" s="5">
        <v>1626</v>
      </c>
    </row>
    <row r="403" spans="1:10" x14ac:dyDescent="0.35">
      <c r="A403" s="1">
        <v>44576</v>
      </c>
      <c r="B403" s="2">
        <f>YEAR(Sales_Dataset[[#This Row],[Order Date]])</f>
        <v>2022</v>
      </c>
      <c r="C403" s="2">
        <f>MONTH(Sales_Dataset[[#This Row],[Order Date]])</f>
        <v>1</v>
      </c>
      <c r="D403" t="s">
        <v>46</v>
      </c>
      <c r="E403" t="s">
        <v>47</v>
      </c>
      <c r="F403" t="s">
        <v>18</v>
      </c>
      <c r="G403" t="s">
        <v>19</v>
      </c>
      <c r="H403" s="5">
        <v>3686</v>
      </c>
      <c r="I403">
        <v>20</v>
      </c>
      <c r="J403" s="5">
        <v>760</v>
      </c>
    </row>
    <row r="404" spans="1:10" x14ac:dyDescent="0.35">
      <c r="A404" s="1">
        <v>44576</v>
      </c>
      <c r="B404" s="2">
        <f>YEAR(Sales_Dataset[[#This Row],[Order Date]])</f>
        <v>2022</v>
      </c>
      <c r="C404" s="2">
        <f>MONTH(Sales_Dataset[[#This Row],[Order Date]])</f>
        <v>1</v>
      </c>
      <c r="D404" t="s">
        <v>165</v>
      </c>
      <c r="E404" t="s">
        <v>15</v>
      </c>
      <c r="F404" t="s">
        <v>18</v>
      </c>
      <c r="G404" t="s">
        <v>33</v>
      </c>
      <c r="H404" s="5">
        <v>3099</v>
      </c>
      <c r="I404">
        <v>1</v>
      </c>
      <c r="J404" s="5">
        <v>479</v>
      </c>
    </row>
    <row r="405" spans="1:10" x14ac:dyDescent="0.35">
      <c r="A405" s="1">
        <v>44576</v>
      </c>
      <c r="B405" s="2">
        <f>YEAR(Sales_Dataset[[#This Row],[Order Date]])</f>
        <v>2022</v>
      </c>
      <c r="C405" s="2">
        <f>MONTH(Sales_Dataset[[#This Row],[Order Date]])</f>
        <v>1</v>
      </c>
      <c r="D405" t="s">
        <v>165</v>
      </c>
      <c r="E405" t="s">
        <v>15</v>
      </c>
      <c r="F405" t="s">
        <v>10</v>
      </c>
      <c r="G405" t="s">
        <v>41</v>
      </c>
      <c r="H405" s="5">
        <v>2521</v>
      </c>
      <c r="I405">
        <v>7</v>
      </c>
      <c r="J405" s="5">
        <v>906</v>
      </c>
    </row>
    <row r="406" spans="1:10" x14ac:dyDescent="0.35">
      <c r="A406" s="1">
        <v>44576</v>
      </c>
      <c r="B406" s="2">
        <f>YEAR(Sales_Dataset[[#This Row],[Order Date]])</f>
        <v>2022</v>
      </c>
      <c r="C406" s="2">
        <f>MONTH(Sales_Dataset[[#This Row],[Order Date]])</f>
        <v>1</v>
      </c>
      <c r="D406" t="s">
        <v>551</v>
      </c>
      <c r="E406" t="s">
        <v>36</v>
      </c>
      <c r="F406" t="s">
        <v>24</v>
      </c>
      <c r="G406" t="s">
        <v>31</v>
      </c>
      <c r="H406" s="5">
        <v>6389</v>
      </c>
      <c r="I406">
        <v>1</v>
      </c>
      <c r="J406" s="5">
        <v>734</v>
      </c>
    </row>
    <row r="407" spans="1:10" x14ac:dyDescent="0.35">
      <c r="A407" s="1">
        <v>44577</v>
      </c>
      <c r="B407" s="2">
        <f>YEAR(Sales_Dataset[[#This Row],[Order Date]])</f>
        <v>2022</v>
      </c>
      <c r="C407" s="2">
        <f>MONTH(Sales_Dataset[[#This Row],[Order Date]])</f>
        <v>1</v>
      </c>
      <c r="D407" t="s">
        <v>68</v>
      </c>
      <c r="E407" t="s">
        <v>9</v>
      </c>
      <c r="F407" t="s">
        <v>24</v>
      </c>
      <c r="G407" t="s">
        <v>51</v>
      </c>
      <c r="H407" s="5">
        <v>1126</v>
      </c>
      <c r="I407">
        <v>1</v>
      </c>
      <c r="J407" s="5">
        <v>55</v>
      </c>
    </row>
    <row r="408" spans="1:10" x14ac:dyDescent="0.35">
      <c r="A408" s="1">
        <v>44577</v>
      </c>
      <c r="B408" s="2">
        <f>YEAR(Sales_Dataset[[#This Row],[Order Date]])</f>
        <v>2022</v>
      </c>
      <c r="C408" s="2">
        <f>MONTH(Sales_Dataset[[#This Row],[Order Date]])</f>
        <v>1</v>
      </c>
      <c r="D408" t="s">
        <v>163</v>
      </c>
      <c r="E408" t="s">
        <v>36</v>
      </c>
      <c r="F408" t="s">
        <v>24</v>
      </c>
      <c r="G408" t="s">
        <v>25</v>
      </c>
      <c r="H408" s="5">
        <v>7421</v>
      </c>
      <c r="I408">
        <v>10</v>
      </c>
      <c r="J408" s="5">
        <v>958</v>
      </c>
    </row>
    <row r="409" spans="1:10" x14ac:dyDescent="0.35">
      <c r="A409" s="1">
        <v>44578</v>
      </c>
      <c r="B409" s="2">
        <f>YEAR(Sales_Dataset[[#This Row],[Order Date]])</f>
        <v>2022</v>
      </c>
      <c r="C409" s="2">
        <f>MONTH(Sales_Dataset[[#This Row],[Order Date]])</f>
        <v>1</v>
      </c>
      <c r="D409" t="s">
        <v>495</v>
      </c>
      <c r="E409" t="s">
        <v>22</v>
      </c>
      <c r="F409" t="s">
        <v>10</v>
      </c>
      <c r="G409" t="s">
        <v>23</v>
      </c>
      <c r="H409" s="5">
        <v>6061</v>
      </c>
      <c r="I409">
        <v>19</v>
      </c>
      <c r="J409" s="5">
        <v>2121</v>
      </c>
    </row>
    <row r="410" spans="1:10" x14ac:dyDescent="0.35">
      <c r="A410" s="1">
        <v>44579</v>
      </c>
      <c r="B410" s="2">
        <f>YEAR(Sales_Dataset[[#This Row],[Order Date]])</f>
        <v>2022</v>
      </c>
      <c r="C410" s="2">
        <f>MONTH(Sales_Dataset[[#This Row],[Order Date]])</f>
        <v>1</v>
      </c>
      <c r="D410" t="s">
        <v>172</v>
      </c>
      <c r="E410" t="s">
        <v>15</v>
      </c>
      <c r="F410" t="s">
        <v>24</v>
      </c>
      <c r="G410" t="s">
        <v>27</v>
      </c>
      <c r="H410" s="5">
        <v>738</v>
      </c>
      <c r="I410">
        <v>2</v>
      </c>
      <c r="J410" s="5">
        <v>342</v>
      </c>
    </row>
    <row r="411" spans="1:10" x14ac:dyDescent="0.35">
      <c r="A411" s="1">
        <v>44579</v>
      </c>
      <c r="B411" s="2">
        <f>YEAR(Sales_Dataset[[#This Row],[Order Date]])</f>
        <v>2022</v>
      </c>
      <c r="C411" s="2">
        <f>MONTH(Sales_Dataset[[#This Row],[Order Date]])</f>
        <v>1</v>
      </c>
      <c r="D411" t="s">
        <v>465</v>
      </c>
      <c r="E411" t="s">
        <v>9</v>
      </c>
      <c r="F411" t="s">
        <v>18</v>
      </c>
      <c r="G411" t="s">
        <v>19</v>
      </c>
      <c r="H411" s="5">
        <v>2349</v>
      </c>
      <c r="I411">
        <v>4</v>
      </c>
      <c r="J411" s="5">
        <v>319</v>
      </c>
    </row>
    <row r="412" spans="1:10" x14ac:dyDescent="0.35">
      <c r="A412" s="1">
        <v>44579</v>
      </c>
      <c r="B412" s="2">
        <f>YEAR(Sales_Dataset[[#This Row],[Order Date]])</f>
        <v>2022</v>
      </c>
      <c r="C412" s="2">
        <f>MONTH(Sales_Dataset[[#This Row],[Order Date]])</f>
        <v>1</v>
      </c>
      <c r="D412" t="s">
        <v>465</v>
      </c>
      <c r="E412" t="s">
        <v>9</v>
      </c>
      <c r="F412" t="s">
        <v>24</v>
      </c>
      <c r="G412" t="s">
        <v>27</v>
      </c>
      <c r="H412" s="5">
        <v>8220</v>
      </c>
      <c r="I412">
        <v>14</v>
      </c>
      <c r="J412" s="5">
        <v>3882</v>
      </c>
    </row>
    <row r="413" spans="1:10" x14ac:dyDescent="0.35">
      <c r="A413" s="1">
        <v>44579</v>
      </c>
      <c r="B413" s="2">
        <f>YEAR(Sales_Dataset[[#This Row],[Order Date]])</f>
        <v>2022</v>
      </c>
      <c r="C413" s="2">
        <f>MONTH(Sales_Dataset[[#This Row],[Order Date]])</f>
        <v>1</v>
      </c>
      <c r="D413" t="s">
        <v>465</v>
      </c>
      <c r="E413" t="s">
        <v>9</v>
      </c>
      <c r="F413" t="s">
        <v>24</v>
      </c>
      <c r="G413" t="s">
        <v>27</v>
      </c>
      <c r="H413" s="5">
        <v>2379</v>
      </c>
      <c r="I413">
        <v>7</v>
      </c>
      <c r="J413" s="5">
        <v>279</v>
      </c>
    </row>
    <row r="414" spans="1:10" x14ac:dyDescent="0.35">
      <c r="A414" s="1">
        <v>44579</v>
      </c>
      <c r="B414" s="2">
        <f>YEAR(Sales_Dataset[[#This Row],[Order Date]])</f>
        <v>2022</v>
      </c>
      <c r="C414" s="2">
        <f>MONTH(Sales_Dataset[[#This Row],[Order Date]])</f>
        <v>1</v>
      </c>
      <c r="D414" t="s">
        <v>465</v>
      </c>
      <c r="E414" t="s">
        <v>9</v>
      </c>
      <c r="F414" t="s">
        <v>18</v>
      </c>
      <c r="G414" t="s">
        <v>30</v>
      </c>
      <c r="H414" s="5">
        <v>7377</v>
      </c>
      <c r="I414">
        <v>4</v>
      </c>
      <c r="J414" s="5">
        <v>2049</v>
      </c>
    </row>
    <row r="415" spans="1:10" x14ac:dyDescent="0.35">
      <c r="A415" s="1">
        <v>44579</v>
      </c>
      <c r="B415" s="2">
        <f>YEAR(Sales_Dataset[[#This Row],[Order Date]])</f>
        <v>2022</v>
      </c>
      <c r="C415" s="2">
        <f>MONTH(Sales_Dataset[[#This Row],[Order Date]])</f>
        <v>1</v>
      </c>
      <c r="D415" t="s">
        <v>591</v>
      </c>
      <c r="E415" t="s">
        <v>47</v>
      </c>
      <c r="F415" t="s">
        <v>10</v>
      </c>
      <c r="G415" t="s">
        <v>23</v>
      </c>
      <c r="H415" s="5">
        <v>1592</v>
      </c>
      <c r="I415">
        <v>13</v>
      </c>
      <c r="J415" s="5">
        <v>480</v>
      </c>
    </row>
    <row r="416" spans="1:10" x14ac:dyDescent="0.35">
      <c r="A416" s="1">
        <v>44580</v>
      </c>
      <c r="B416" s="2">
        <f>YEAR(Sales_Dataset[[#This Row],[Order Date]])</f>
        <v>2022</v>
      </c>
      <c r="C416" s="2">
        <f>MONTH(Sales_Dataset[[#This Row],[Order Date]])</f>
        <v>1</v>
      </c>
      <c r="D416" t="s">
        <v>758</v>
      </c>
      <c r="E416" t="s">
        <v>22</v>
      </c>
      <c r="F416" t="s">
        <v>24</v>
      </c>
      <c r="G416" t="s">
        <v>51</v>
      </c>
      <c r="H416" s="5">
        <v>1476</v>
      </c>
      <c r="I416">
        <v>5</v>
      </c>
      <c r="J416" s="5">
        <v>247</v>
      </c>
    </row>
    <row r="417" spans="1:10" x14ac:dyDescent="0.35">
      <c r="A417" s="1">
        <v>44581</v>
      </c>
      <c r="B417" s="2">
        <f>YEAR(Sales_Dataset[[#This Row],[Order Date]])</f>
        <v>2022</v>
      </c>
      <c r="C417" s="2">
        <f>MONTH(Sales_Dataset[[#This Row],[Order Date]])</f>
        <v>1</v>
      </c>
      <c r="D417" t="s">
        <v>388</v>
      </c>
      <c r="E417" t="s">
        <v>13</v>
      </c>
      <c r="F417" t="s">
        <v>10</v>
      </c>
      <c r="G417" t="s">
        <v>16</v>
      </c>
      <c r="H417" s="5">
        <v>6236</v>
      </c>
      <c r="I417">
        <v>7</v>
      </c>
      <c r="J417" s="5">
        <v>2839</v>
      </c>
    </row>
    <row r="418" spans="1:10" x14ac:dyDescent="0.35">
      <c r="A418" s="1">
        <v>44581</v>
      </c>
      <c r="B418" s="2">
        <f>YEAR(Sales_Dataset[[#This Row],[Order Date]])</f>
        <v>2022</v>
      </c>
      <c r="C418" s="2">
        <f>MONTH(Sales_Dataset[[#This Row],[Order Date]])</f>
        <v>1</v>
      </c>
      <c r="D418" t="s">
        <v>756</v>
      </c>
      <c r="E418" t="s">
        <v>13</v>
      </c>
      <c r="F418" t="s">
        <v>10</v>
      </c>
      <c r="G418" t="s">
        <v>41</v>
      </c>
      <c r="H418" s="5">
        <v>7644</v>
      </c>
      <c r="I418">
        <v>6</v>
      </c>
      <c r="J418" s="5">
        <v>2428</v>
      </c>
    </row>
    <row r="419" spans="1:10" x14ac:dyDescent="0.35">
      <c r="A419" s="1">
        <v>44584</v>
      </c>
      <c r="B419" s="2">
        <f>YEAR(Sales_Dataset[[#This Row],[Order Date]])</f>
        <v>2022</v>
      </c>
      <c r="C419" s="2">
        <f>MONTH(Sales_Dataset[[#This Row],[Order Date]])</f>
        <v>1</v>
      </c>
      <c r="D419" t="s">
        <v>42</v>
      </c>
      <c r="E419" t="s">
        <v>36</v>
      </c>
      <c r="F419" t="s">
        <v>10</v>
      </c>
      <c r="G419" t="s">
        <v>11</v>
      </c>
      <c r="H419" s="5">
        <v>4206</v>
      </c>
      <c r="I419">
        <v>17</v>
      </c>
      <c r="J419" s="5">
        <v>1821</v>
      </c>
    </row>
    <row r="420" spans="1:10" x14ac:dyDescent="0.35">
      <c r="A420" s="1">
        <v>44586</v>
      </c>
      <c r="B420" s="2">
        <f>YEAR(Sales_Dataset[[#This Row],[Order Date]])</f>
        <v>2022</v>
      </c>
      <c r="C420" s="2">
        <f>MONTH(Sales_Dataset[[#This Row],[Order Date]])</f>
        <v>1</v>
      </c>
      <c r="D420" t="s">
        <v>629</v>
      </c>
      <c r="E420" t="s">
        <v>36</v>
      </c>
      <c r="F420" t="s">
        <v>10</v>
      </c>
      <c r="G420" t="s">
        <v>23</v>
      </c>
      <c r="H420" s="5">
        <v>2078</v>
      </c>
      <c r="I420">
        <v>6</v>
      </c>
      <c r="J420" s="5">
        <v>612</v>
      </c>
    </row>
    <row r="421" spans="1:10" x14ac:dyDescent="0.35">
      <c r="A421" s="1">
        <v>44595</v>
      </c>
      <c r="B421" s="2">
        <f>YEAR(Sales_Dataset[[#This Row],[Order Date]])</f>
        <v>2022</v>
      </c>
      <c r="C421" s="2">
        <f>MONTH(Sales_Dataset[[#This Row],[Order Date]])</f>
        <v>2</v>
      </c>
      <c r="D421" t="s">
        <v>87</v>
      </c>
      <c r="E421" t="s">
        <v>36</v>
      </c>
      <c r="F421" t="s">
        <v>10</v>
      </c>
      <c r="G421" t="s">
        <v>23</v>
      </c>
      <c r="H421" s="5">
        <v>5704</v>
      </c>
      <c r="I421">
        <v>13</v>
      </c>
      <c r="J421" s="5">
        <v>714</v>
      </c>
    </row>
    <row r="422" spans="1:10" x14ac:dyDescent="0.35">
      <c r="A422" s="1">
        <v>44595</v>
      </c>
      <c r="B422" s="2">
        <f>YEAR(Sales_Dataset[[#This Row],[Order Date]])</f>
        <v>2022</v>
      </c>
      <c r="C422" s="2">
        <f>MONTH(Sales_Dataset[[#This Row],[Order Date]])</f>
        <v>2</v>
      </c>
      <c r="D422" t="s">
        <v>87</v>
      </c>
      <c r="E422" t="s">
        <v>36</v>
      </c>
      <c r="F422" t="s">
        <v>24</v>
      </c>
      <c r="G422" t="s">
        <v>25</v>
      </c>
      <c r="H422" s="5">
        <v>8797</v>
      </c>
      <c r="I422">
        <v>8</v>
      </c>
      <c r="J422" s="5">
        <v>1010</v>
      </c>
    </row>
    <row r="423" spans="1:10" x14ac:dyDescent="0.35">
      <c r="A423" s="1">
        <v>44595</v>
      </c>
      <c r="B423" s="2">
        <f>YEAR(Sales_Dataset[[#This Row],[Order Date]])</f>
        <v>2022</v>
      </c>
      <c r="C423" s="2">
        <f>MONTH(Sales_Dataset[[#This Row],[Order Date]])</f>
        <v>2</v>
      </c>
      <c r="D423" t="s">
        <v>87</v>
      </c>
      <c r="E423" t="s">
        <v>36</v>
      </c>
      <c r="F423" t="s">
        <v>10</v>
      </c>
      <c r="G423" t="s">
        <v>23</v>
      </c>
      <c r="H423" s="5">
        <v>9236</v>
      </c>
      <c r="I423">
        <v>5</v>
      </c>
      <c r="J423" s="5">
        <v>2899</v>
      </c>
    </row>
    <row r="424" spans="1:10" x14ac:dyDescent="0.35">
      <c r="A424" s="1">
        <v>44596</v>
      </c>
      <c r="B424" s="2">
        <f>YEAR(Sales_Dataset[[#This Row],[Order Date]])</f>
        <v>2022</v>
      </c>
      <c r="C424" s="2">
        <f>MONTH(Sales_Dataset[[#This Row],[Order Date]])</f>
        <v>2</v>
      </c>
      <c r="D424" t="s">
        <v>581</v>
      </c>
      <c r="E424" t="s">
        <v>15</v>
      </c>
      <c r="F424" t="s">
        <v>24</v>
      </c>
      <c r="G424" t="s">
        <v>27</v>
      </c>
      <c r="H424" s="5">
        <v>3877</v>
      </c>
      <c r="I424">
        <v>16</v>
      </c>
      <c r="J424" s="5">
        <v>481</v>
      </c>
    </row>
    <row r="425" spans="1:10" x14ac:dyDescent="0.35">
      <c r="A425" s="1">
        <v>44598</v>
      </c>
      <c r="B425" s="2">
        <f>YEAR(Sales_Dataset[[#This Row],[Order Date]])</f>
        <v>2022</v>
      </c>
      <c r="C425" s="2">
        <f>MONTH(Sales_Dataset[[#This Row],[Order Date]])</f>
        <v>2</v>
      </c>
      <c r="D425" t="s">
        <v>412</v>
      </c>
      <c r="E425" t="s">
        <v>36</v>
      </c>
      <c r="F425" t="s">
        <v>10</v>
      </c>
      <c r="G425" t="s">
        <v>11</v>
      </c>
      <c r="H425" s="5">
        <v>2804</v>
      </c>
      <c r="I425">
        <v>10</v>
      </c>
      <c r="J425" s="5">
        <v>936</v>
      </c>
    </row>
    <row r="426" spans="1:10" x14ac:dyDescent="0.35">
      <c r="A426" s="1">
        <v>44602</v>
      </c>
      <c r="B426" s="2">
        <f>YEAR(Sales_Dataset[[#This Row],[Order Date]])</f>
        <v>2022</v>
      </c>
      <c r="C426" s="2">
        <f>MONTH(Sales_Dataset[[#This Row],[Order Date]])</f>
        <v>2</v>
      </c>
      <c r="D426" t="s">
        <v>404</v>
      </c>
      <c r="E426" t="s">
        <v>15</v>
      </c>
      <c r="F426" t="s">
        <v>24</v>
      </c>
      <c r="G426" t="s">
        <v>27</v>
      </c>
      <c r="H426" s="5">
        <v>6109</v>
      </c>
      <c r="I426">
        <v>9</v>
      </c>
      <c r="J426" s="5">
        <v>3040</v>
      </c>
    </row>
    <row r="427" spans="1:10" x14ac:dyDescent="0.35">
      <c r="A427" s="1">
        <v>44602</v>
      </c>
      <c r="B427" s="2">
        <f>YEAR(Sales_Dataset[[#This Row],[Order Date]])</f>
        <v>2022</v>
      </c>
      <c r="C427" s="2">
        <f>MONTH(Sales_Dataset[[#This Row],[Order Date]])</f>
        <v>2</v>
      </c>
      <c r="D427" t="s">
        <v>404</v>
      </c>
      <c r="E427" t="s">
        <v>15</v>
      </c>
      <c r="F427" t="s">
        <v>10</v>
      </c>
      <c r="G427" t="s">
        <v>11</v>
      </c>
      <c r="H427" s="5">
        <v>4628</v>
      </c>
      <c r="I427">
        <v>17</v>
      </c>
      <c r="J427" s="5">
        <v>1491</v>
      </c>
    </row>
    <row r="428" spans="1:10" x14ac:dyDescent="0.35">
      <c r="A428" s="1">
        <v>44603</v>
      </c>
      <c r="B428" s="2">
        <f>YEAR(Sales_Dataset[[#This Row],[Order Date]])</f>
        <v>2022</v>
      </c>
      <c r="C428" s="2">
        <f>MONTH(Sales_Dataset[[#This Row],[Order Date]])</f>
        <v>2</v>
      </c>
      <c r="D428" t="s">
        <v>616</v>
      </c>
      <c r="E428" t="s">
        <v>9</v>
      </c>
      <c r="F428" t="s">
        <v>10</v>
      </c>
      <c r="G428" t="s">
        <v>11</v>
      </c>
      <c r="H428" s="5">
        <v>7344</v>
      </c>
      <c r="I428">
        <v>7</v>
      </c>
      <c r="J428" s="5">
        <v>2251</v>
      </c>
    </row>
    <row r="429" spans="1:10" x14ac:dyDescent="0.35">
      <c r="A429" s="1">
        <v>44603</v>
      </c>
      <c r="B429" s="2">
        <f>YEAR(Sales_Dataset[[#This Row],[Order Date]])</f>
        <v>2022</v>
      </c>
      <c r="C429" s="2">
        <f>MONTH(Sales_Dataset[[#This Row],[Order Date]])</f>
        <v>2</v>
      </c>
      <c r="D429" t="s">
        <v>616</v>
      </c>
      <c r="E429" t="s">
        <v>9</v>
      </c>
      <c r="F429" t="s">
        <v>18</v>
      </c>
      <c r="G429" t="s">
        <v>33</v>
      </c>
      <c r="H429" s="5">
        <v>7306</v>
      </c>
      <c r="I429">
        <v>3</v>
      </c>
      <c r="J429" s="5">
        <v>1547</v>
      </c>
    </row>
    <row r="430" spans="1:10" x14ac:dyDescent="0.35">
      <c r="A430" s="1">
        <v>44603</v>
      </c>
      <c r="B430" s="2">
        <f>YEAR(Sales_Dataset[[#This Row],[Order Date]])</f>
        <v>2022</v>
      </c>
      <c r="C430" s="2">
        <f>MONTH(Sales_Dataset[[#This Row],[Order Date]])</f>
        <v>2</v>
      </c>
      <c r="D430" t="s">
        <v>616</v>
      </c>
      <c r="E430" t="s">
        <v>9</v>
      </c>
      <c r="F430" t="s">
        <v>10</v>
      </c>
      <c r="G430" t="s">
        <v>16</v>
      </c>
      <c r="H430" s="5">
        <v>5832</v>
      </c>
      <c r="I430">
        <v>10</v>
      </c>
      <c r="J430" s="5">
        <v>2588</v>
      </c>
    </row>
    <row r="431" spans="1:10" x14ac:dyDescent="0.35">
      <c r="A431" s="1">
        <v>44607</v>
      </c>
      <c r="B431" s="2">
        <f>YEAR(Sales_Dataset[[#This Row],[Order Date]])</f>
        <v>2022</v>
      </c>
      <c r="C431" s="2">
        <f>MONTH(Sales_Dataset[[#This Row],[Order Date]])</f>
        <v>2</v>
      </c>
      <c r="D431" t="s">
        <v>554</v>
      </c>
      <c r="E431" t="s">
        <v>15</v>
      </c>
      <c r="F431" t="s">
        <v>18</v>
      </c>
      <c r="G431" t="s">
        <v>30</v>
      </c>
      <c r="H431" s="5">
        <v>655</v>
      </c>
      <c r="I431">
        <v>4</v>
      </c>
      <c r="J431" s="5">
        <v>297</v>
      </c>
    </row>
    <row r="432" spans="1:10" x14ac:dyDescent="0.35">
      <c r="A432" s="1">
        <v>44610</v>
      </c>
      <c r="B432" s="2">
        <f>YEAR(Sales_Dataset[[#This Row],[Order Date]])</f>
        <v>2022</v>
      </c>
      <c r="C432" s="2">
        <f>MONTH(Sales_Dataset[[#This Row],[Order Date]])</f>
        <v>2</v>
      </c>
      <c r="D432" t="s">
        <v>822</v>
      </c>
      <c r="E432" t="s">
        <v>13</v>
      </c>
      <c r="F432" t="s">
        <v>24</v>
      </c>
      <c r="G432" t="s">
        <v>31</v>
      </c>
      <c r="H432" s="5">
        <v>526</v>
      </c>
      <c r="I432">
        <v>4</v>
      </c>
      <c r="J432" s="5">
        <v>83</v>
      </c>
    </row>
    <row r="433" spans="1:10" x14ac:dyDescent="0.35">
      <c r="A433" s="1">
        <v>44611</v>
      </c>
      <c r="B433" s="2">
        <f>YEAR(Sales_Dataset[[#This Row],[Order Date]])</f>
        <v>2022</v>
      </c>
      <c r="C433" s="2">
        <f>MONTH(Sales_Dataset[[#This Row],[Order Date]])</f>
        <v>2</v>
      </c>
      <c r="D433" t="s">
        <v>367</v>
      </c>
      <c r="E433" t="s">
        <v>13</v>
      </c>
      <c r="F433" t="s">
        <v>18</v>
      </c>
      <c r="G433" t="s">
        <v>19</v>
      </c>
      <c r="H433" s="5">
        <v>3288</v>
      </c>
      <c r="I433">
        <v>3</v>
      </c>
      <c r="J433" s="5">
        <v>1477</v>
      </c>
    </row>
    <row r="434" spans="1:10" x14ac:dyDescent="0.35">
      <c r="A434" s="1">
        <v>44614</v>
      </c>
      <c r="B434" s="2">
        <f>YEAR(Sales_Dataset[[#This Row],[Order Date]])</f>
        <v>2022</v>
      </c>
      <c r="C434" s="2">
        <f>MONTH(Sales_Dataset[[#This Row],[Order Date]])</f>
        <v>2</v>
      </c>
      <c r="D434" t="s">
        <v>615</v>
      </c>
      <c r="E434" t="s">
        <v>47</v>
      </c>
      <c r="F434" t="s">
        <v>10</v>
      </c>
      <c r="G434" t="s">
        <v>16</v>
      </c>
      <c r="H434" s="5">
        <v>1093</v>
      </c>
      <c r="I434">
        <v>17</v>
      </c>
      <c r="J434" s="5">
        <v>397</v>
      </c>
    </row>
    <row r="435" spans="1:10" x14ac:dyDescent="0.35">
      <c r="A435" s="1">
        <v>44614</v>
      </c>
      <c r="B435" s="2">
        <f>YEAR(Sales_Dataset[[#This Row],[Order Date]])</f>
        <v>2022</v>
      </c>
      <c r="C435" s="2">
        <f>MONTH(Sales_Dataset[[#This Row],[Order Date]])</f>
        <v>2</v>
      </c>
      <c r="D435" t="s">
        <v>615</v>
      </c>
      <c r="E435" t="s">
        <v>47</v>
      </c>
      <c r="F435" t="s">
        <v>18</v>
      </c>
      <c r="G435" t="s">
        <v>33</v>
      </c>
      <c r="H435" s="5">
        <v>2636</v>
      </c>
      <c r="I435">
        <v>11</v>
      </c>
      <c r="J435" s="5">
        <v>88</v>
      </c>
    </row>
    <row r="436" spans="1:10" x14ac:dyDescent="0.35">
      <c r="A436" s="1">
        <v>44615</v>
      </c>
      <c r="B436" s="2">
        <f>YEAR(Sales_Dataset[[#This Row],[Order Date]])</f>
        <v>2022</v>
      </c>
      <c r="C436" s="2">
        <f>MONTH(Sales_Dataset[[#This Row],[Order Date]])</f>
        <v>2</v>
      </c>
      <c r="D436" t="s">
        <v>76</v>
      </c>
      <c r="E436" t="s">
        <v>47</v>
      </c>
      <c r="F436" t="s">
        <v>10</v>
      </c>
      <c r="G436" t="s">
        <v>11</v>
      </c>
      <c r="H436" s="5">
        <v>1591</v>
      </c>
      <c r="I436">
        <v>5</v>
      </c>
      <c r="J436" s="5">
        <v>727</v>
      </c>
    </row>
    <row r="437" spans="1:10" x14ac:dyDescent="0.35">
      <c r="A437" s="1">
        <v>44615</v>
      </c>
      <c r="B437" s="2">
        <f>YEAR(Sales_Dataset[[#This Row],[Order Date]])</f>
        <v>2022</v>
      </c>
      <c r="C437" s="2">
        <f>MONTH(Sales_Dataset[[#This Row],[Order Date]])</f>
        <v>2</v>
      </c>
      <c r="D437" t="s">
        <v>130</v>
      </c>
      <c r="E437" t="s">
        <v>22</v>
      </c>
      <c r="F437" t="s">
        <v>10</v>
      </c>
      <c r="G437" t="s">
        <v>16</v>
      </c>
      <c r="H437" s="5">
        <v>3574</v>
      </c>
      <c r="I437">
        <v>4</v>
      </c>
      <c r="J437" s="5">
        <v>851</v>
      </c>
    </row>
    <row r="438" spans="1:10" x14ac:dyDescent="0.35">
      <c r="A438" s="1">
        <v>44615</v>
      </c>
      <c r="B438" s="2">
        <f>YEAR(Sales_Dataset[[#This Row],[Order Date]])</f>
        <v>2022</v>
      </c>
      <c r="C438" s="2">
        <f>MONTH(Sales_Dataset[[#This Row],[Order Date]])</f>
        <v>2</v>
      </c>
      <c r="D438" t="s">
        <v>130</v>
      </c>
      <c r="E438" t="s">
        <v>22</v>
      </c>
      <c r="F438" t="s">
        <v>24</v>
      </c>
      <c r="G438" t="s">
        <v>31</v>
      </c>
      <c r="H438" s="5">
        <v>576</v>
      </c>
      <c r="I438">
        <v>13</v>
      </c>
      <c r="J438" s="5">
        <v>76</v>
      </c>
    </row>
    <row r="439" spans="1:10" x14ac:dyDescent="0.35">
      <c r="A439" s="1">
        <v>44616</v>
      </c>
      <c r="B439" s="2">
        <f>YEAR(Sales_Dataset[[#This Row],[Order Date]])</f>
        <v>2022</v>
      </c>
      <c r="C439" s="2">
        <f>MONTH(Sales_Dataset[[#This Row],[Order Date]])</f>
        <v>2</v>
      </c>
      <c r="D439" t="s">
        <v>206</v>
      </c>
      <c r="E439" t="s">
        <v>36</v>
      </c>
      <c r="F439" t="s">
        <v>24</v>
      </c>
      <c r="G439" t="s">
        <v>25</v>
      </c>
      <c r="H439" s="5">
        <v>2323</v>
      </c>
      <c r="I439">
        <v>7</v>
      </c>
      <c r="J439" s="5">
        <v>727</v>
      </c>
    </row>
    <row r="440" spans="1:10" x14ac:dyDescent="0.35">
      <c r="A440" s="1">
        <v>44616</v>
      </c>
      <c r="B440" s="2">
        <f>YEAR(Sales_Dataset[[#This Row],[Order Date]])</f>
        <v>2022</v>
      </c>
      <c r="C440" s="2">
        <f>MONTH(Sales_Dataset[[#This Row],[Order Date]])</f>
        <v>2</v>
      </c>
      <c r="D440" t="s">
        <v>206</v>
      </c>
      <c r="E440" t="s">
        <v>36</v>
      </c>
      <c r="F440" t="s">
        <v>24</v>
      </c>
      <c r="G440" t="s">
        <v>51</v>
      </c>
      <c r="H440" s="5">
        <v>1368</v>
      </c>
      <c r="I440">
        <v>9</v>
      </c>
      <c r="J440" s="5">
        <v>406</v>
      </c>
    </row>
    <row r="441" spans="1:10" x14ac:dyDescent="0.35">
      <c r="A441" s="1">
        <v>44618</v>
      </c>
      <c r="B441" s="2">
        <f>YEAR(Sales_Dataset[[#This Row],[Order Date]])</f>
        <v>2022</v>
      </c>
      <c r="C441" s="2">
        <f>MONTH(Sales_Dataset[[#This Row],[Order Date]])</f>
        <v>2</v>
      </c>
      <c r="D441" t="s">
        <v>63</v>
      </c>
      <c r="E441" t="s">
        <v>9</v>
      </c>
      <c r="F441" t="s">
        <v>24</v>
      </c>
      <c r="G441" t="s">
        <v>25</v>
      </c>
      <c r="H441" s="5">
        <v>6139</v>
      </c>
      <c r="I441">
        <v>10</v>
      </c>
      <c r="J441" s="5">
        <v>451</v>
      </c>
    </row>
    <row r="442" spans="1:10" x14ac:dyDescent="0.35">
      <c r="A442" s="1">
        <v>44618</v>
      </c>
      <c r="B442" s="2">
        <f>YEAR(Sales_Dataset[[#This Row],[Order Date]])</f>
        <v>2022</v>
      </c>
      <c r="C442" s="2">
        <f>MONTH(Sales_Dataset[[#This Row],[Order Date]])</f>
        <v>2</v>
      </c>
      <c r="D442" t="s">
        <v>63</v>
      </c>
      <c r="E442" t="s">
        <v>9</v>
      </c>
      <c r="F442" t="s">
        <v>24</v>
      </c>
      <c r="G442" t="s">
        <v>27</v>
      </c>
      <c r="H442" s="5">
        <v>8636</v>
      </c>
      <c r="I442">
        <v>3</v>
      </c>
      <c r="J442" s="5">
        <v>3192</v>
      </c>
    </row>
    <row r="443" spans="1:10" x14ac:dyDescent="0.35">
      <c r="A443" s="1">
        <v>44618</v>
      </c>
      <c r="B443" s="2">
        <f>YEAR(Sales_Dataset[[#This Row],[Order Date]])</f>
        <v>2022</v>
      </c>
      <c r="C443" s="2">
        <f>MONTH(Sales_Dataset[[#This Row],[Order Date]])</f>
        <v>2</v>
      </c>
      <c r="D443" t="s">
        <v>63</v>
      </c>
      <c r="E443" t="s">
        <v>9</v>
      </c>
      <c r="F443" t="s">
        <v>24</v>
      </c>
      <c r="G443" t="s">
        <v>31</v>
      </c>
      <c r="H443" s="5">
        <v>4439</v>
      </c>
      <c r="I443">
        <v>19</v>
      </c>
      <c r="J443" s="5">
        <v>1712</v>
      </c>
    </row>
    <row r="444" spans="1:10" x14ac:dyDescent="0.35">
      <c r="A444" s="1">
        <v>44620</v>
      </c>
      <c r="B444" s="2">
        <f>YEAR(Sales_Dataset[[#This Row],[Order Date]])</f>
        <v>2022</v>
      </c>
      <c r="C444" s="2">
        <f>MONTH(Sales_Dataset[[#This Row],[Order Date]])</f>
        <v>2</v>
      </c>
      <c r="D444" t="s">
        <v>421</v>
      </c>
      <c r="E444" t="s">
        <v>13</v>
      </c>
      <c r="F444" t="s">
        <v>18</v>
      </c>
      <c r="G444" t="s">
        <v>30</v>
      </c>
      <c r="H444" s="5">
        <v>838</v>
      </c>
      <c r="I444">
        <v>11</v>
      </c>
      <c r="J444" s="5">
        <v>271</v>
      </c>
    </row>
    <row r="445" spans="1:10" x14ac:dyDescent="0.35">
      <c r="A445" s="1">
        <v>44620</v>
      </c>
      <c r="B445" s="2">
        <f>YEAR(Sales_Dataset[[#This Row],[Order Date]])</f>
        <v>2022</v>
      </c>
      <c r="C445" s="2">
        <f>MONTH(Sales_Dataset[[#This Row],[Order Date]])</f>
        <v>2</v>
      </c>
      <c r="D445" t="s">
        <v>421</v>
      </c>
      <c r="E445" t="s">
        <v>13</v>
      </c>
      <c r="F445" t="s">
        <v>24</v>
      </c>
      <c r="G445" t="s">
        <v>25</v>
      </c>
      <c r="H445" s="5">
        <v>3577</v>
      </c>
      <c r="I445">
        <v>2</v>
      </c>
      <c r="J445" s="5">
        <v>699</v>
      </c>
    </row>
    <row r="446" spans="1:10" x14ac:dyDescent="0.35">
      <c r="A446" s="1">
        <v>44620</v>
      </c>
      <c r="B446" s="2">
        <f>YEAR(Sales_Dataset[[#This Row],[Order Date]])</f>
        <v>2022</v>
      </c>
      <c r="C446" s="2">
        <f>MONTH(Sales_Dataset[[#This Row],[Order Date]])</f>
        <v>2</v>
      </c>
      <c r="D446" t="s">
        <v>451</v>
      </c>
      <c r="E446" t="s">
        <v>9</v>
      </c>
      <c r="F446" t="s">
        <v>18</v>
      </c>
      <c r="G446" t="s">
        <v>39</v>
      </c>
      <c r="H446" s="5">
        <v>3839</v>
      </c>
      <c r="I446">
        <v>10</v>
      </c>
      <c r="J446" s="5">
        <v>1415</v>
      </c>
    </row>
    <row r="447" spans="1:10" x14ac:dyDescent="0.35">
      <c r="A447" s="1">
        <v>44628</v>
      </c>
      <c r="B447" s="2">
        <f>YEAR(Sales_Dataset[[#This Row],[Order Date]])</f>
        <v>2022</v>
      </c>
      <c r="C447" s="2">
        <f>MONTH(Sales_Dataset[[#This Row],[Order Date]])</f>
        <v>3</v>
      </c>
      <c r="D447" t="s">
        <v>431</v>
      </c>
      <c r="E447" t="s">
        <v>47</v>
      </c>
      <c r="F447" t="s">
        <v>10</v>
      </c>
      <c r="G447" t="s">
        <v>41</v>
      </c>
      <c r="H447" s="5">
        <v>2685</v>
      </c>
      <c r="I447">
        <v>18</v>
      </c>
      <c r="J447" s="5">
        <v>379</v>
      </c>
    </row>
    <row r="448" spans="1:10" x14ac:dyDescent="0.35">
      <c r="A448" s="1">
        <v>44628</v>
      </c>
      <c r="B448" s="2">
        <f>YEAR(Sales_Dataset[[#This Row],[Order Date]])</f>
        <v>2022</v>
      </c>
      <c r="C448" s="2">
        <f>MONTH(Sales_Dataset[[#This Row],[Order Date]])</f>
        <v>3</v>
      </c>
      <c r="D448" t="s">
        <v>431</v>
      </c>
      <c r="E448" t="s">
        <v>47</v>
      </c>
      <c r="F448" t="s">
        <v>24</v>
      </c>
      <c r="G448" t="s">
        <v>27</v>
      </c>
      <c r="H448" s="5">
        <v>9916</v>
      </c>
      <c r="I448">
        <v>14</v>
      </c>
      <c r="J448" s="5">
        <v>4602</v>
      </c>
    </row>
    <row r="449" spans="1:10" x14ac:dyDescent="0.35">
      <c r="A449" s="1">
        <v>44628</v>
      </c>
      <c r="B449" s="2">
        <f>YEAR(Sales_Dataset[[#This Row],[Order Date]])</f>
        <v>2022</v>
      </c>
      <c r="C449" s="2">
        <f>MONTH(Sales_Dataset[[#This Row],[Order Date]])</f>
        <v>3</v>
      </c>
      <c r="D449" t="s">
        <v>431</v>
      </c>
      <c r="E449" t="s">
        <v>47</v>
      </c>
      <c r="F449" t="s">
        <v>10</v>
      </c>
      <c r="G449" t="s">
        <v>11</v>
      </c>
      <c r="H449" s="5">
        <v>6184</v>
      </c>
      <c r="I449">
        <v>14</v>
      </c>
      <c r="J449" s="5">
        <v>50</v>
      </c>
    </row>
    <row r="450" spans="1:10" x14ac:dyDescent="0.35">
      <c r="A450" s="1">
        <v>44628</v>
      </c>
      <c r="B450" s="2">
        <f>YEAR(Sales_Dataset[[#This Row],[Order Date]])</f>
        <v>2022</v>
      </c>
      <c r="C450" s="2">
        <f>MONTH(Sales_Dataset[[#This Row],[Order Date]])</f>
        <v>3</v>
      </c>
      <c r="D450" t="s">
        <v>431</v>
      </c>
      <c r="E450" t="s">
        <v>47</v>
      </c>
      <c r="F450" t="s">
        <v>18</v>
      </c>
      <c r="G450" t="s">
        <v>30</v>
      </c>
      <c r="H450" s="5">
        <v>4548</v>
      </c>
      <c r="I450">
        <v>8</v>
      </c>
      <c r="J450" s="5">
        <v>2135</v>
      </c>
    </row>
    <row r="451" spans="1:10" x14ac:dyDescent="0.35">
      <c r="A451" s="1">
        <v>44635</v>
      </c>
      <c r="B451" s="2">
        <f>YEAR(Sales_Dataset[[#This Row],[Order Date]])</f>
        <v>2022</v>
      </c>
      <c r="C451" s="2">
        <f>MONTH(Sales_Dataset[[#This Row],[Order Date]])</f>
        <v>3</v>
      </c>
      <c r="D451" t="s">
        <v>624</v>
      </c>
      <c r="E451" t="s">
        <v>22</v>
      </c>
      <c r="F451" t="s">
        <v>24</v>
      </c>
      <c r="G451" t="s">
        <v>25</v>
      </c>
      <c r="H451" s="5">
        <v>7067</v>
      </c>
      <c r="I451">
        <v>16</v>
      </c>
      <c r="J451" s="5">
        <v>1943</v>
      </c>
    </row>
    <row r="452" spans="1:10" x14ac:dyDescent="0.35">
      <c r="A452" s="1">
        <v>44636</v>
      </c>
      <c r="B452" s="2">
        <f>YEAR(Sales_Dataset[[#This Row],[Order Date]])</f>
        <v>2022</v>
      </c>
      <c r="C452" s="2">
        <f>MONTH(Sales_Dataset[[#This Row],[Order Date]])</f>
        <v>3</v>
      </c>
      <c r="D452" t="s">
        <v>456</v>
      </c>
      <c r="E452" t="s">
        <v>9</v>
      </c>
      <c r="F452" t="s">
        <v>18</v>
      </c>
      <c r="G452" t="s">
        <v>33</v>
      </c>
      <c r="H452" s="5">
        <v>4468</v>
      </c>
      <c r="I452">
        <v>9</v>
      </c>
      <c r="J452" s="5">
        <v>1940</v>
      </c>
    </row>
    <row r="453" spans="1:10" x14ac:dyDescent="0.35">
      <c r="A453" s="1">
        <v>44637</v>
      </c>
      <c r="B453" s="2">
        <f>YEAR(Sales_Dataset[[#This Row],[Order Date]])</f>
        <v>2022</v>
      </c>
      <c r="C453" s="2">
        <f>MONTH(Sales_Dataset[[#This Row],[Order Date]])</f>
        <v>3</v>
      </c>
      <c r="D453" t="s">
        <v>519</v>
      </c>
      <c r="E453" t="s">
        <v>47</v>
      </c>
      <c r="F453" t="s">
        <v>18</v>
      </c>
      <c r="G453" t="s">
        <v>39</v>
      </c>
      <c r="H453" s="5">
        <v>5250</v>
      </c>
      <c r="I453">
        <v>1</v>
      </c>
      <c r="J453" s="5">
        <v>187</v>
      </c>
    </row>
    <row r="454" spans="1:10" x14ac:dyDescent="0.35">
      <c r="A454" s="1">
        <v>44637</v>
      </c>
      <c r="B454" s="2">
        <f>YEAR(Sales_Dataset[[#This Row],[Order Date]])</f>
        <v>2022</v>
      </c>
      <c r="C454" s="2">
        <f>MONTH(Sales_Dataset[[#This Row],[Order Date]])</f>
        <v>3</v>
      </c>
      <c r="D454" t="s">
        <v>774</v>
      </c>
      <c r="E454" t="s">
        <v>36</v>
      </c>
      <c r="F454" t="s">
        <v>10</v>
      </c>
      <c r="G454" t="s">
        <v>23</v>
      </c>
      <c r="H454" s="5">
        <v>5944</v>
      </c>
      <c r="I454">
        <v>7</v>
      </c>
      <c r="J454" s="5">
        <v>2661</v>
      </c>
    </row>
    <row r="455" spans="1:10" x14ac:dyDescent="0.35">
      <c r="A455" s="1">
        <v>44640</v>
      </c>
      <c r="B455" s="2">
        <f>YEAR(Sales_Dataset[[#This Row],[Order Date]])</f>
        <v>2022</v>
      </c>
      <c r="C455" s="2">
        <f>MONTH(Sales_Dataset[[#This Row],[Order Date]])</f>
        <v>3</v>
      </c>
      <c r="D455" t="s">
        <v>136</v>
      </c>
      <c r="E455" t="s">
        <v>9</v>
      </c>
      <c r="F455" t="s">
        <v>18</v>
      </c>
      <c r="G455" t="s">
        <v>30</v>
      </c>
      <c r="H455" s="5">
        <v>3234</v>
      </c>
      <c r="I455">
        <v>20</v>
      </c>
      <c r="J455" s="5">
        <v>1029</v>
      </c>
    </row>
    <row r="456" spans="1:10" x14ac:dyDescent="0.35">
      <c r="A456" s="1">
        <v>44640</v>
      </c>
      <c r="B456" s="2">
        <f>YEAR(Sales_Dataset[[#This Row],[Order Date]])</f>
        <v>2022</v>
      </c>
      <c r="C456" s="2">
        <f>MONTH(Sales_Dataset[[#This Row],[Order Date]])</f>
        <v>3</v>
      </c>
      <c r="D456" t="s">
        <v>307</v>
      </c>
      <c r="E456" t="s">
        <v>22</v>
      </c>
      <c r="F456" t="s">
        <v>18</v>
      </c>
      <c r="G456" t="s">
        <v>33</v>
      </c>
      <c r="H456" s="5">
        <v>2140</v>
      </c>
      <c r="I456">
        <v>4</v>
      </c>
      <c r="J456" s="5">
        <v>970</v>
      </c>
    </row>
    <row r="457" spans="1:10" x14ac:dyDescent="0.35">
      <c r="A457" s="1">
        <v>44640</v>
      </c>
      <c r="B457" s="2">
        <f>YEAR(Sales_Dataset[[#This Row],[Order Date]])</f>
        <v>2022</v>
      </c>
      <c r="C457" s="2">
        <f>MONTH(Sales_Dataset[[#This Row],[Order Date]])</f>
        <v>3</v>
      </c>
      <c r="D457" t="s">
        <v>307</v>
      </c>
      <c r="E457" t="s">
        <v>22</v>
      </c>
      <c r="F457" t="s">
        <v>10</v>
      </c>
      <c r="G457" t="s">
        <v>23</v>
      </c>
      <c r="H457" s="5">
        <v>2670</v>
      </c>
      <c r="I457">
        <v>1</v>
      </c>
      <c r="J457" s="5">
        <v>1026</v>
      </c>
    </row>
    <row r="458" spans="1:10" x14ac:dyDescent="0.35">
      <c r="A458" s="1">
        <v>44642</v>
      </c>
      <c r="B458" s="2">
        <f>YEAR(Sales_Dataset[[#This Row],[Order Date]])</f>
        <v>2022</v>
      </c>
      <c r="C458" s="2">
        <f>MONTH(Sales_Dataset[[#This Row],[Order Date]])</f>
        <v>3</v>
      </c>
      <c r="D458" t="s">
        <v>180</v>
      </c>
      <c r="E458" t="s">
        <v>47</v>
      </c>
      <c r="F458" t="s">
        <v>18</v>
      </c>
      <c r="G458" t="s">
        <v>30</v>
      </c>
      <c r="H458" s="5">
        <v>4957</v>
      </c>
      <c r="I458">
        <v>8</v>
      </c>
      <c r="J458" s="5">
        <v>1152</v>
      </c>
    </row>
    <row r="459" spans="1:10" x14ac:dyDescent="0.35">
      <c r="A459" s="1">
        <v>44643</v>
      </c>
      <c r="B459" s="2">
        <f>YEAR(Sales_Dataset[[#This Row],[Order Date]])</f>
        <v>2022</v>
      </c>
      <c r="C459" s="2">
        <f>MONTH(Sales_Dataset[[#This Row],[Order Date]])</f>
        <v>3</v>
      </c>
      <c r="D459" t="s">
        <v>466</v>
      </c>
      <c r="E459" t="s">
        <v>47</v>
      </c>
      <c r="F459" t="s">
        <v>24</v>
      </c>
      <c r="G459" t="s">
        <v>25</v>
      </c>
      <c r="H459" s="5">
        <v>717</v>
      </c>
      <c r="I459">
        <v>16</v>
      </c>
      <c r="J459" s="5">
        <v>158</v>
      </c>
    </row>
    <row r="460" spans="1:10" x14ac:dyDescent="0.35">
      <c r="A460" s="1">
        <v>44643</v>
      </c>
      <c r="B460" s="2">
        <f>YEAR(Sales_Dataset[[#This Row],[Order Date]])</f>
        <v>2022</v>
      </c>
      <c r="C460" s="2">
        <f>MONTH(Sales_Dataset[[#This Row],[Order Date]])</f>
        <v>3</v>
      </c>
      <c r="D460" t="s">
        <v>466</v>
      </c>
      <c r="E460" t="s">
        <v>47</v>
      </c>
      <c r="F460" t="s">
        <v>24</v>
      </c>
      <c r="G460" t="s">
        <v>31</v>
      </c>
      <c r="H460" s="5">
        <v>508</v>
      </c>
      <c r="I460">
        <v>17</v>
      </c>
      <c r="J460" s="5">
        <v>177</v>
      </c>
    </row>
    <row r="461" spans="1:10" x14ac:dyDescent="0.35">
      <c r="A461" s="1">
        <v>44645</v>
      </c>
      <c r="B461" s="2">
        <f>YEAR(Sales_Dataset[[#This Row],[Order Date]])</f>
        <v>2022</v>
      </c>
      <c r="C461" s="2">
        <f>MONTH(Sales_Dataset[[#This Row],[Order Date]])</f>
        <v>3</v>
      </c>
      <c r="D461" t="s">
        <v>62</v>
      </c>
      <c r="E461" t="s">
        <v>9</v>
      </c>
      <c r="F461" t="s">
        <v>24</v>
      </c>
      <c r="G461" t="s">
        <v>31</v>
      </c>
      <c r="H461" s="5">
        <v>7811</v>
      </c>
      <c r="I461">
        <v>12</v>
      </c>
      <c r="J461" s="5">
        <v>1538</v>
      </c>
    </row>
    <row r="462" spans="1:10" x14ac:dyDescent="0.35">
      <c r="A462" s="1">
        <v>44648</v>
      </c>
      <c r="B462" s="2">
        <f>YEAR(Sales_Dataset[[#This Row],[Order Date]])</f>
        <v>2022</v>
      </c>
      <c r="C462" s="2">
        <f>MONTH(Sales_Dataset[[#This Row],[Order Date]])</f>
        <v>3</v>
      </c>
      <c r="D462" t="s">
        <v>159</v>
      </c>
      <c r="E462" t="s">
        <v>47</v>
      </c>
      <c r="F462" t="s">
        <v>10</v>
      </c>
      <c r="G462" t="s">
        <v>11</v>
      </c>
      <c r="H462" s="5">
        <v>9851</v>
      </c>
      <c r="I462">
        <v>19</v>
      </c>
      <c r="J462" s="5">
        <v>2669</v>
      </c>
    </row>
    <row r="463" spans="1:10" x14ac:dyDescent="0.35">
      <c r="A463" s="1">
        <v>44648</v>
      </c>
      <c r="B463" s="2">
        <f>YEAR(Sales_Dataset[[#This Row],[Order Date]])</f>
        <v>2022</v>
      </c>
      <c r="C463" s="2">
        <f>MONTH(Sales_Dataset[[#This Row],[Order Date]])</f>
        <v>3</v>
      </c>
      <c r="D463" t="s">
        <v>159</v>
      </c>
      <c r="E463" t="s">
        <v>47</v>
      </c>
      <c r="F463" t="s">
        <v>24</v>
      </c>
      <c r="G463" t="s">
        <v>25</v>
      </c>
      <c r="H463" s="5">
        <v>9989</v>
      </c>
      <c r="I463">
        <v>14</v>
      </c>
      <c r="J463" s="5">
        <v>3930</v>
      </c>
    </row>
    <row r="464" spans="1:10" x14ac:dyDescent="0.35">
      <c r="A464" s="1">
        <v>44648</v>
      </c>
      <c r="B464" s="2">
        <f>YEAR(Sales_Dataset[[#This Row],[Order Date]])</f>
        <v>2022</v>
      </c>
      <c r="C464" s="2">
        <f>MONTH(Sales_Dataset[[#This Row],[Order Date]])</f>
        <v>3</v>
      </c>
      <c r="D464" t="s">
        <v>263</v>
      </c>
      <c r="E464" t="s">
        <v>15</v>
      </c>
      <c r="F464" t="s">
        <v>10</v>
      </c>
      <c r="G464" t="s">
        <v>23</v>
      </c>
      <c r="H464" s="5">
        <v>4099</v>
      </c>
      <c r="I464">
        <v>18</v>
      </c>
      <c r="J464" s="5">
        <v>52</v>
      </c>
    </row>
    <row r="465" spans="1:10" x14ac:dyDescent="0.35">
      <c r="A465" s="1">
        <v>44649</v>
      </c>
      <c r="B465" s="2">
        <f>YEAR(Sales_Dataset[[#This Row],[Order Date]])</f>
        <v>2022</v>
      </c>
      <c r="C465" s="2">
        <f>MONTH(Sales_Dataset[[#This Row],[Order Date]])</f>
        <v>3</v>
      </c>
      <c r="D465" t="s">
        <v>77</v>
      </c>
      <c r="E465" t="s">
        <v>47</v>
      </c>
      <c r="F465" t="s">
        <v>24</v>
      </c>
      <c r="G465" t="s">
        <v>27</v>
      </c>
      <c r="H465" s="5">
        <v>1757</v>
      </c>
      <c r="I465">
        <v>10</v>
      </c>
      <c r="J465" s="5">
        <v>622</v>
      </c>
    </row>
    <row r="466" spans="1:10" x14ac:dyDescent="0.35">
      <c r="A466" s="1">
        <v>44659</v>
      </c>
      <c r="B466" s="2">
        <f>YEAR(Sales_Dataset[[#This Row],[Order Date]])</f>
        <v>2022</v>
      </c>
      <c r="C466" s="2">
        <f>MONTH(Sales_Dataset[[#This Row],[Order Date]])</f>
        <v>4</v>
      </c>
      <c r="D466" t="s">
        <v>488</v>
      </c>
      <c r="E466" t="s">
        <v>22</v>
      </c>
      <c r="F466" t="s">
        <v>18</v>
      </c>
      <c r="G466" t="s">
        <v>30</v>
      </c>
      <c r="H466" s="5">
        <v>8042</v>
      </c>
      <c r="I466">
        <v>15</v>
      </c>
      <c r="J466" s="5">
        <v>936</v>
      </c>
    </row>
    <row r="467" spans="1:10" x14ac:dyDescent="0.35">
      <c r="A467" s="1">
        <v>44662</v>
      </c>
      <c r="B467" s="2">
        <f>YEAR(Sales_Dataset[[#This Row],[Order Date]])</f>
        <v>2022</v>
      </c>
      <c r="C467" s="2">
        <f>MONTH(Sales_Dataset[[#This Row],[Order Date]])</f>
        <v>4</v>
      </c>
      <c r="D467" t="s">
        <v>202</v>
      </c>
      <c r="E467" t="s">
        <v>47</v>
      </c>
      <c r="F467" t="s">
        <v>18</v>
      </c>
      <c r="G467" t="s">
        <v>19</v>
      </c>
      <c r="H467" s="5">
        <v>2174</v>
      </c>
      <c r="I467">
        <v>19</v>
      </c>
      <c r="J467" s="5">
        <v>265</v>
      </c>
    </row>
    <row r="468" spans="1:10" x14ac:dyDescent="0.35">
      <c r="A468" s="1">
        <v>44662</v>
      </c>
      <c r="B468" s="2">
        <f>YEAR(Sales_Dataset[[#This Row],[Order Date]])</f>
        <v>2022</v>
      </c>
      <c r="C468" s="2">
        <f>MONTH(Sales_Dataset[[#This Row],[Order Date]])</f>
        <v>4</v>
      </c>
      <c r="D468" t="s">
        <v>202</v>
      </c>
      <c r="E468" t="s">
        <v>47</v>
      </c>
      <c r="F468" t="s">
        <v>10</v>
      </c>
      <c r="G468" t="s">
        <v>11</v>
      </c>
      <c r="H468" s="5">
        <v>8541</v>
      </c>
      <c r="I468">
        <v>12</v>
      </c>
      <c r="J468" s="5">
        <v>2029</v>
      </c>
    </row>
    <row r="469" spans="1:10" x14ac:dyDescent="0.35">
      <c r="A469" s="1">
        <v>44662</v>
      </c>
      <c r="B469" s="2">
        <f>YEAR(Sales_Dataset[[#This Row],[Order Date]])</f>
        <v>2022</v>
      </c>
      <c r="C469" s="2">
        <f>MONTH(Sales_Dataset[[#This Row],[Order Date]])</f>
        <v>4</v>
      </c>
      <c r="D469" t="s">
        <v>202</v>
      </c>
      <c r="E469" t="s">
        <v>47</v>
      </c>
      <c r="F469" t="s">
        <v>24</v>
      </c>
      <c r="G469" t="s">
        <v>51</v>
      </c>
      <c r="H469" s="5">
        <v>1931</v>
      </c>
      <c r="I469">
        <v>3</v>
      </c>
      <c r="J469" s="5">
        <v>551</v>
      </c>
    </row>
    <row r="470" spans="1:10" x14ac:dyDescent="0.35">
      <c r="A470" s="1">
        <v>44663</v>
      </c>
      <c r="B470" s="2">
        <f>YEAR(Sales_Dataset[[#This Row],[Order Date]])</f>
        <v>2022</v>
      </c>
      <c r="C470" s="2">
        <f>MONTH(Sales_Dataset[[#This Row],[Order Date]])</f>
        <v>4</v>
      </c>
      <c r="D470" t="s">
        <v>288</v>
      </c>
      <c r="E470" t="s">
        <v>36</v>
      </c>
      <c r="F470" t="s">
        <v>10</v>
      </c>
      <c r="G470" t="s">
        <v>23</v>
      </c>
      <c r="H470" s="5">
        <v>5564</v>
      </c>
      <c r="I470">
        <v>11</v>
      </c>
      <c r="J470" s="5">
        <v>175</v>
      </c>
    </row>
    <row r="471" spans="1:10" x14ac:dyDescent="0.35">
      <c r="A471" s="1">
        <v>44663</v>
      </c>
      <c r="B471" s="2">
        <f>YEAR(Sales_Dataset[[#This Row],[Order Date]])</f>
        <v>2022</v>
      </c>
      <c r="C471" s="2">
        <f>MONTH(Sales_Dataset[[#This Row],[Order Date]])</f>
        <v>4</v>
      </c>
      <c r="D471" t="s">
        <v>288</v>
      </c>
      <c r="E471" t="s">
        <v>36</v>
      </c>
      <c r="F471" t="s">
        <v>10</v>
      </c>
      <c r="G471" t="s">
        <v>11</v>
      </c>
      <c r="H471" s="5">
        <v>3953</v>
      </c>
      <c r="I471">
        <v>15</v>
      </c>
      <c r="J471" s="5">
        <v>1776</v>
      </c>
    </row>
    <row r="472" spans="1:10" x14ac:dyDescent="0.35">
      <c r="A472" s="1">
        <v>44666</v>
      </c>
      <c r="B472" s="2">
        <f>YEAR(Sales_Dataset[[#This Row],[Order Date]])</f>
        <v>2022</v>
      </c>
      <c r="C472" s="2">
        <f>MONTH(Sales_Dataset[[#This Row],[Order Date]])</f>
        <v>4</v>
      </c>
      <c r="D472" t="s">
        <v>97</v>
      </c>
      <c r="E472" t="s">
        <v>36</v>
      </c>
      <c r="F472" t="s">
        <v>18</v>
      </c>
      <c r="G472" t="s">
        <v>19</v>
      </c>
      <c r="H472" s="5">
        <v>9992</v>
      </c>
      <c r="I472">
        <v>20</v>
      </c>
      <c r="J472" s="5">
        <v>3696</v>
      </c>
    </row>
    <row r="473" spans="1:10" x14ac:dyDescent="0.35">
      <c r="A473" s="1">
        <v>44666</v>
      </c>
      <c r="B473" s="2">
        <f>YEAR(Sales_Dataset[[#This Row],[Order Date]])</f>
        <v>2022</v>
      </c>
      <c r="C473" s="2">
        <f>MONTH(Sales_Dataset[[#This Row],[Order Date]])</f>
        <v>4</v>
      </c>
      <c r="D473" t="s">
        <v>97</v>
      </c>
      <c r="E473" t="s">
        <v>36</v>
      </c>
      <c r="F473" t="s">
        <v>18</v>
      </c>
      <c r="G473" t="s">
        <v>39</v>
      </c>
      <c r="H473" s="5">
        <v>9619</v>
      </c>
      <c r="I473">
        <v>7</v>
      </c>
      <c r="J473" s="5">
        <v>3420</v>
      </c>
    </row>
    <row r="474" spans="1:10" x14ac:dyDescent="0.35">
      <c r="A474" s="1">
        <v>44666</v>
      </c>
      <c r="B474" s="2">
        <f>YEAR(Sales_Dataset[[#This Row],[Order Date]])</f>
        <v>2022</v>
      </c>
      <c r="C474" s="2">
        <f>MONTH(Sales_Dataset[[#This Row],[Order Date]])</f>
        <v>4</v>
      </c>
      <c r="D474" t="s">
        <v>652</v>
      </c>
      <c r="E474" t="s">
        <v>47</v>
      </c>
      <c r="F474" t="s">
        <v>24</v>
      </c>
      <c r="G474" t="s">
        <v>25</v>
      </c>
      <c r="H474" s="5">
        <v>6089</v>
      </c>
      <c r="I474">
        <v>19</v>
      </c>
      <c r="J474" s="5">
        <v>139</v>
      </c>
    </row>
    <row r="475" spans="1:10" x14ac:dyDescent="0.35">
      <c r="A475" s="1">
        <v>44666</v>
      </c>
      <c r="B475" s="2">
        <f>YEAR(Sales_Dataset[[#This Row],[Order Date]])</f>
        <v>2022</v>
      </c>
      <c r="C475" s="2">
        <f>MONTH(Sales_Dataset[[#This Row],[Order Date]])</f>
        <v>4</v>
      </c>
      <c r="D475" t="s">
        <v>652</v>
      </c>
      <c r="E475" t="s">
        <v>47</v>
      </c>
      <c r="F475" t="s">
        <v>24</v>
      </c>
      <c r="G475" t="s">
        <v>25</v>
      </c>
      <c r="H475" s="5">
        <v>2586</v>
      </c>
      <c r="I475">
        <v>16</v>
      </c>
      <c r="J475" s="5">
        <v>800</v>
      </c>
    </row>
    <row r="476" spans="1:10" x14ac:dyDescent="0.35">
      <c r="A476" s="1">
        <v>44666</v>
      </c>
      <c r="B476" s="2">
        <f>YEAR(Sales_Dataset[[#This Row],[Order Date]])</f>
        <v>2022</v>
      </c>
      <c r="C476" s="2">
        <f>MONTH(Sales_Dataset[[#This Row],[Order Date]])</f>
        <v>4</v>
      </c>
      <c r="D476" t="s">
        <v>652</v>
      </c>
      <c r="E476" t="s">
        <v>47</v>
      </c>
      <c r="F476" t="s">
        <v>18</v>
      </c>
      <c r="G476" t="s">
        <v>33</v>
      </c>
      <c r="H476" s="5">
        <v>3757</v>
      </c>
      <c r="I476">
        <v>9</v>
      </c>
      <c r="J476" s="5">
        <v>1626</v>
      </c>
    </row>
    <row r="477" spans="1:10" x14ac:dyDescent="0.35">
      <c r="A477" s="1">
        <v>44667</v>
      </c>
      <c r="B477" s="2">
        <f>YEAR(Sales_Dataset[[#This Row],[Order Date]])</f>
        <v>2022</v>
      </c>
      <c r="C477" s="2">
        <f>MONTH(Sales_Dataset[[#This Row],[Order Date]])</f>
        <v>4</v>
      </c>
      <c r="D477" t="s">
        <v>247</v>
      </c>
      <c r="E477" t="s">
        <v>9</v>
      </c>
      <c r="F477" t="s">
        <v>24</v>
      </c>
      <c r="G477" t="s">
        <v>51</v>
      </c>
      <c r="H477" s="5">
        <v>3083</v>
      </c>
      <c r="I477">
        <v>16</v>
      </c>
      <c r="J477" s="5">
        <v>1151</v>
      </c>
    </row>
    <row r="478" spans="1:10" x14ac:dyDescent="0.35">
      <c r="A478" s="1">
        <v>44667</v>
      </c>
      <c r="B478" s="2">
        <f>YEAR(Sales_Dataset[[#This Row],[Order Date]])</f>
        <v>2022</v>
      </c>
      <c r="C478" s="2">
        <f>MONTH(Sales_Dataset[[#This Row],[Order Date]])</f>
        <v>4</v>
      </c>
      <c r="D478" t="s">
        <v>484</v>
      </c>
      <c r="E478" t="s">
        <v>47</v>
      </c>
      <c r="F478" t="s">
        <v>10</v>
      </c>
      <c r="G478" t="s">
        <v>16</v>
      </c>
      <c r="H478" s="5">
        <v>5379</v>
      </c>
      <c r="I478">
        <v>17</v>
      </c>
      <c r="J478" s="5">
        <v>2510</v>
      </c>
    </row>
    <row r="479" spans="1:10" x14ac:dyDescent="0.35">
      <c r="A479" s="1">
        <v>44670</v>
      </c>
      <c r="B479" s="2">
        <f>YEAR(Sales_Dataset[[#This Row],[Order Date]])</f>
        <v>2022</v>
      </c>
      <c r="C479" s="2">
        <f>MONTH(Sales_Dataset[[#This Row],[Order Date]])</f>
        <v>4</v>
      </c>
      <c r="D479" t="s">
        <v>84</v>
      </c>
      <c r="E479" t="s">
        <v>15</v>
      </c>
      <c r="F479" t="s">
        <v>24</v>
      </c>
      <c r="G479" t="s">
        <v>27</v>
      </c>
      <c r="H479" s="5">
        <v>7595</v>
      </c>
      <c r="I479">
        <v>4</v>
      </c>
      <c r="J479" s="5">
        <v>2873</v>
      </c>
    </row>
    <row r="480" spans="1:10" x14ac:dyDescent="0.35">
      <c r="A480" s="1">
        <v>44670</v>
      </c>
      <c r="B480" s="2">
        <f>YEAR(Sales_Dataset[[#This Row],[Order Date]])</f>
        <v>2022</v>
      </c>
      <c r="C480" s="2">
        <f>MONTH(Sales_Dataset[[#This Row],[Order Date]])</f>
        <v>4</v>
      </c>
      <c r="D480" t="s">
        <v>377</v>
      </c>
      <c r="E480" t="s">
        <v>13</v>
      </c>
      <c r="F480" t="s">
        <v>18</v>
      </c>
      <c r="G480" t="s">
        <v>30</v>
      </c>
      <c r="H480" s="5">
        <v>6956</v>
      </c>
      <c r="I480">
        <v>20</v>
      </c>
      <c r="J480" s="5">
        <v>318</v>
      </c>
    </row>
    <row r="481" spans="1:10" x14ac:dyDescent="0.35">
      <c r="A481" s="1">
        <v>44670</v>
      </c>
      <c r="B481" s="2">
        <f>YEAR(Sales_Dataset[[#This Row],[Order Date]])</f>
        <v>2022</v>
      </c>
      <c r="C481" s="2">
        <f>MONTH(Sales_Dataset[[#This Row],[Order Date]])</f>
        <v>4</v>
      </c>
      <c r="D481" t="s">
        <v>678</v>
      </c>
      <c r="E481" t="s">
        <v>47</v>
      </c>
      <c r="F481" t="s">
        <v>18</v>
      </c>
      <c r="G481" t="s">
        <v>19</v>
      </c>
      <c r="H481" s="5">
        <v>3095</v>
      </c>
      <c r="I481">
        <v>2</v>
      </c>
      <c r="J481" s="5">
        <v>941</v>
      </c>
    </row>
    <row r="482" spans="1:10" x14ac:dyDescent="0.35">
      <c r="A482" s="1">
        <v>44672</v>
      </c>
      <c r="B482" s="2">
        <f>YEAR(Sales_Dataset[[#This Row],[Order Date]])</f>
        <v>2022</v>
      </c>
      <c r="C482" s="2">
        <f>MONTH(Sales_Dataset[[#This Row],[Order Date]])</f>
        <v>4</v>
      </c>
      <c r="D482" t="s">
        <v>342</v>
      </c>
      <c r="E482" t="s">
        <v>36</v>
      </c>
      <c r="F482" t="s">
        <v>18</v>
      </c>
      <c r="G482" t="s">
        <v>30</v>
      </c>
      <c r="H482" s="5">
        <v>2542</v>
      </c>
      <c r="I482">
        <v>1</v>
      </c>
      <c r="J482" s="5">
        <v>190</v>
      </c>
    </row>
    <row r="483" spans="1:10" x14ac:dyDescent="0.35">
      <c r="A483" s="1">
        <v>44674</v>
      </c>
      <c r="B483" s="2">
        <f>YEAR(Sales_Dataset[[#This Row],[Order Date]])</f>
        <v>2022</v>
      </c>
      <c r="C483" s="2">
        <f>MONTH(Sales_Dataset[[#This Row],[Order Date]])</f>
        <v>4</v>
      </c>
      <c r="D483" t="s">
        <v>492</v>
      </c>
      <c r="E483" t="s">
        <v>36</v>
      </c>
      <c r="F483" t="s">
        <v>18</v>
      </c>
      <c r="G483" t="s">
        <v>33</v>
      </c>
      <c r="H483" s="5">
        <v>5344</v>
      </c>
      <c r="I483">
        <v>6</v>
      </c>
      <c r="J483" s="5">
        <v>2607</v>
      </c>
    </row>
    <row r="484" spans="1:10" x14ac:dyDescent="0.35">
      <c r="A484" s="1">
        <v>44675</v>
      </c>
      <c r="B484" s="2">
        <f>YEAR(Sales_Dataset[[#This Row],[Order Date]])</f>
        <v>2022</v>
      </c>
      <c r="C484" s="2">
        <f>MONTH(Sales_Dataset[[#This Row],[Order Date]])</f>
        <v>4</v>
      </c>
      <c r="D484" t="s">
        <v>251</v>
      </c>
      <c r="E484" t="s">
        <v>13</v>
      </c>
      <c r="F484" t="s">
        <v>10</v>
      </c>
      <c r="G484" t="s">
        <v>23</v>
      </c>
      <c r="H484" s="5">
        <v>4462</v>
      </c>
      <c r="I484">
        <v>8</v>
      </c>
      <c r="J484" s="5">
        <v>121</v>
      </c>
    </row>
    <row r="485" spans="1:10" x14ac:dyDescent="0.35">
      <c r="A485" s="1">
        <v>44675</v>
      </c>
      <c r="B485" s="2">
        <f>YEAR(Sales_Dataset[[#This Row],[Order Date]])</f>
        <v>2022</v>
      </c>
      <c r="C485" s="2">
        <f>MONTH(Sales_Dataset[[#This Row],[Order Date]])</f>
        <v>4</v>
      </c>
      <c r="D485" t="s">
        <v>251</v>
      </c>
      <c r="E485" t="s">
        <v>13</v>
      </c>
      <c r="F485" t="s">
        <v>10</v>
      </c>
      <c r="G485" t="s">
        <v>41</v>
      </c>
      <c r="H485" s="5">
        <v>6212</v>
      </c>
      <c r="I485">
        <v>17</v>
      </c>
      <c r="J485" s="5">
        <v>1881</v>
      </c>
    </row>
    <row r="486" spans="1:10" x14ac:dyDescent="0.35">
      <c r="A486" s="1">
        <v>44681</v>
      </c>
      <c r="B486" s="2">
        <f>YEAR(Sales_Dataset[[#This Row],[Order Date]])</f>
        <v>2022</v>
      </c>
      <c r="C486" s="2">
        <f>MONTH(Sales_Dataset[[#This Row],[Order Date]])</f>
        <v>4</v>
      </c>
      <c r="D486" t="s">
        <v>489</v>
      </c>
      <c r="E486" t="s">
        <v>36</v>
      </c>
      <c r="F486" t="s">
        <v>18</v>
      </c>
      <c r="G486" t="s">
        <v>39</v>
      </c>
      <c r="H486" s="5">
        <v>3957</v>
      </c>
      <c r="I486">
        <v>10</v>
      </c>
      <c r="J486" s="5">
        <v>151</v>
      </c>
    </row>
    <row r="487" spans="1:10" x14ac:dyDescent="0.35">
      <c r="A487" s="1">
        <v>44682</v>
      </c>
      <c r="B487" s="2">
        <f>YEAR(Sales_Dataset[[#This Row],[Order Date]])</f>
        <v>2022</v>
      </c>
      <c r="C487" s="2">
        <f>MONTH(Sales_Dataset[[#This Row],[Order Date]])</f>
        <v>5</v>
      </c>
      <c r="D487" t="s">
        <v>701</v>
      </c>
      <c r="E487" t="s">
        <v>36</v>
      </c>
      <c r="F487" t="s">
        <v>10</v>
      </c>
      <c r="G487" t="s">
        <v>41</v>
      </c>
      <c r="H487" s="5">
        <v>6034</v>
      </c>
      <c r="I487">
        <v>8</v>
      </c>
      <c r="J487" s="5">
        <v>608</v>
      </c>
    </row>
    <row r="488" spans="1:10" x14ac:dyDescent="0.35">
      <c r="A488" s="1">
        <v>44682</v>
      </c>
      <c r="B488" s="2">
        <f>YEAR(Sales_Dataset[[#This Row],[Order Date]])</f>
        <v>2022</v>
      </c>
      <c r="C488" s="2">
        <f>MONTH(Sales_Dataset[[#This Row],[Order Date]])</f>
        <v>5</v>
      </c>
      <c r="D488" t="s">
        <v>701</v>
      </c>
      <c r="E488" t="s">
        <v>36</v>
      </c>
      <c r="F488" t="s">
        <v>24</v>
      </c>
      <c r="G488" t="s">
        <v>51</v>
      </c>
      <c r="H488" s="5">
        <v>8956</v>
      </c>
      <c r="I488">
        <v>13</v>
      </c>
      <c r="J488" s="5">
        <v>3359</v>
      </c>
    </row>
    <row r="489" spans="1:10" x14ac:dyDescent="0.35">
      <c r="A489" s="1">
        <v>44687</v>
      </c>
      <c r="B489" s="2">
        <f>YEAR(Sales_Dataset[[#This Row],[Order Date]])</f>
        <v>2022</v>
      </c>
      <c r="C489" s="2">
        <f>MONTH(Sales_Dataset[[#This Row],[Order Date]])</f>
        <v>5</v>
      </c>
      <c r="D489" t="s">
        <v>143</v>
      </c>
      <c r="E489" t="s">
        <v>15</v>
      </c>
      <c r="F489" t="s">
        <v>24</v>
      </c>
      <c r="G489" t="s">
        <v>31</v>
      </c>
      <c r="H489" s="5">
        <v>5047</v>
      </c>
      <c r="I489">
        <v>13</v>
      </c>
      <c r="J489" s="5">
        <v>2211</v>
      </c>
    </row>
    <row r="490" spans="1:10" x14ac:dyDescent="0.35">
      <c r="A490" s="1">
        <v>44687</v>
      </c>
      <c r="B490" s="2">
        <f>YEAR(Sales_Dataset[[#This Row],[Order Date]])</f>
        <v>2022</v>
      </c>
      <c r="C490" s="2">
        <f>MONTH(Sales_Dataset[[#This Row],[Order Date]])</f>
        <v>5</v>
      </c>
      <c r="D490" t="s">
        <v>380</v>
      </c>
      <c r="E490" t="s">
        <v>47</v>
      </c>
      <c r="F490" t="s">
        <v>18</v>
      </c>
      <c r="G490" t="s">
        <v>19</v>
      </c>
      <c r="H490" s="5">
        <v>972</v>
      </c>
      <c r="I490">
        <v>15</v>
      </c>
      <c r="J490" s="5">
        <v>106</v>
      </c>
    </row>
    <row r="491" spans="1:10" x14ac:dyDescent="0.35">
      <c r="A491" s="1">
        <v>44687</v>
      </c>
      <c r="B491" s="2">
        <f>YEAR(Sales_Dataset[[#This Row],[Order Date]])</f>
        <v>2022</v>
      </c>
      <c r="C491" s="2">
        <f>MONTH(Sales_Dataset[[#This Row],[Order Date]])</f>
        <v>5</v>
      </c>
      <c r="D491" t="s">
        <v>735</v>
      </c>
      <c r="E491" t="s">
        <v>47</v>
      </c>
      <c r="F491" t="s">
        <v>18</v>
      </c>
      <c r="G491" t="s">
        <v>30</v>
      </c>
      <c r="H491" s="5">
        <v>6123</v>
      </c>
      <c r="I491">
        <v>3</v>
      </c>
      <c r="J491" s="5">
        <v>1686</v>
      </c>
    </row>
    <row r="492" spans="1:10" x14ac:dyDescent="0.35">
      <c r="A492" s="1">
        <v>44688</v>
      </c>
      <c r="B492" s="2">
        <f>YEAR(Sales_Dataset[[#This Row],[Order Date]])</f>
        <v>2022</v>
      </c>
      <c r="C492" s="2">
        <f>MONTH(Sales_Dataset[[#This Row],[Order Date]])</f>
        <v>5</v>
      </c>
      <c r="D492" t="s">
        <v>684</v>
      </c>
      <c r="E492" t="s">
        <v>9</v>
      </c>
      <c r="F492" t="s">
        <v>24</v>
      </c>
      <c r="G492" t="s">
        <v>31</v>
      </c>
      <c r="H492" s="5">
        <v>5346</v>
      </c>
      <c r="I492">
        <v>17</v>
      </c>
      <c r="J492" s="5">
        <v>1246</v>
      </c>
    </row>
    <row r="493" spans="1:10" x14ac:dyDescent="0.35">
      <c r="A493" s="1">
        <v>44691</v>
      </c>
      <c r="B493" s="2">
        <f>YEAR(Sales_Dataset[[#This Row],[Order Date]])</f>
        <v>2022</v>
      </c>
      <c r="C493" s="2">
        <f>MONTH(Sales_Dataset[[#This Row],[Order Date]])</f>
        <v>5</v>
      </c>
      <c r="D493" t="s">
        <v>389</v>
      </c>
      <c r="E493" t="s">
        <v>9</v>
      </c>
      <c r="F493" t="s">
        <v>10</v>
      </c>
      <c r="G493" t="s">
        <v>16</v>
      </c>
      <c r="H493" s="5">
        <v>6236</v>
      </c>
      <c r="I493">
        <v>7</v>
      </c>
      <c r="J493" s="5">
        <v>2839</v>
      </c>
    </row>
    <row r="494" spans="1:10" x14ac:dyDescent="0.35">
      <c r="A494" s="1">
        <v>44694</v>
      </c>
      <c r="B494" s="2">
        <f>YEAR(Sales_Dataset[[#This Row],[Order Date]])</f>
        <v>2022</v>
      </c>
      <c r="C494" s="2">
        <f>MONTH(Sales_Dataset[[#This Row],[Order Date]])</f>
        <v>5</v>
      </c>
      <c r="D494" t="s">
        <v>357</v>
      </c>
      <c r="E494" t="s">
        <v>22</v>
      </c>
      <c r="F494" t="s">
        <v>10</v>
      </c>
      <c r="G494" t="s">
        <v>16</v>
      </c>
      <c r="H494" s="5">
        <v>9562</v>
      </c>
      <c r="I494">
        <v>2</v>
      </c>
      <c r="J494" s="5">
        <v>325</v>
      </c>
    </row>
    <row r="495" spans="1:10" x14ac:dyDescent="0.35">
      <c r="A495" s="1">
        <v>44695</v>
      </c>
      <c r="B495" s="2">
        <f>YEAR(Sales_Dataset[[#This Row],[Order Date]])</f>
        <v>2022</v>
      </c>
      <c r="C495" s="2">
        <f>MONTH(Sales_Dataset[[#This Row],[Order Date]])</f>
        <v>5</v>
      </c>
      <c r="D495" t="s">
        <v>809</v>
      </c>
      <c r="E495" t="s">
        <v>36</v>
      </c>
      <c r="F495" t="s">
        <v>10</v>
      </c>
      <c r="G495" t="s">
        <v>23</v>
      </c>
      <c r="H495" s="5">
        <v>8531</v>
      </c>
      <c r="I495">
        <v>4</v>
      </c>
      <c r="J495" s="5">
        <v>2555</v>
      </c>
    </row>
    <row r="496" spans="1:10" x14ac:dyDescent="0.35">
      <c r="A496" s="1">
        <v>44696</v>
      </c>
      <c r="B496" s="2">
        <f>YEAR(Sales_Dataset[[#This Row],[Order Date]])</f>
        <v>2022</v>
      </c>
      <c r="C496" s="2">
        <f>MONTH(Sales_Dataset[[#This Row],[Order Date]])</f>
        <v>5</v>
      </c>
      <c r="D496" t="s">
        <v>722</v>
      </c>
      <c r="E496" t="s">
        <v>15</v>
      </c>
      <c r="F496" t="s">
        <v>10</v>
      </c>
      <c r="G496" t="s">
        <v>11</v>
      </c>
      <c r="H496" s="5">
        <v>5335</v>
      </c>
      <c r="I496">
        <v>15</v>
      </c>
      <c r="J496" s="5">
        <v>322</v>
      </c>
    </row>
    <row r="497" spans="1:10" x14ac:dyDescent="0.35">
      <c r="A497" s="1">
        <v>44697</v>
      </c>
      <c r="B497" s="2">
        <f>YEAR(Sales_Dataset[[#This Row],[Order Date]])</f>
        <v>2022</v>
      </c>
      <c r="C497" s="2">
        <f>MONTH(Sales_Dataset[[#This Row],[Order Date]])</f>
        <v>5</v>
      </c>
      <c r="D497" t="s">
        <v>81</v>
      </c>
      <c r="E497" t="s">
        <v>47</v>
      </c>
      <c r="F497" t="s">
        <v>24</v>
      </c>
      <c r="G497" t="s">
        <v>25</v>
      </c>
      <c r="H497" s="5">
        <v>5578</v>
      </c>
      <c r="I497">
        <v>16</v>
      </c>
      <c r="J497" s="5">
        <v>277</v>
      </c>
    </row>
    <row r="498" spans="1:10" x14ac:dyDescent="0.35">
      <c r="A498" s="1">
        <v>44697</v>
      </c>
      <c r="B498" s="2">
        <f>YEAR(Sales_Dataset[[#This Row],[Order Date]])</f>
        <v>2022</v>
      </c>
      <c r="C498" s="2">
        <f>MONTH(Sales_Dataset[[#This Row],[Order Date]])</f>
        <v>5</v>
      </c>
      <c r="D498" t="s">
        <v>473</v>
      </c>
      <c r="E498" t="s">
        <v>15</v>
      </c>
      <c r="F498" t="s">
        <v>10</v>
      </c>
      <c r="G498" t="s">
        <v>16</v>
      </c>
      <c r="H498" s="5">
        <v>9382</v>
      </c>
      <c r="I498">
        <v>3</v>
      </c>
      <c r="J498" s="5">
        <v>1085</v>
      </c>
    </row>
    <row r="499" spans="1:10" x14ac:dyDescent="0.35">
      <c r="A499" s="1">
        <v>44697</v>
      </c>
      <c r="B499" s="2">
        <f>YEAR(Sales_Dataset[[#This Row],[Order Date]])</f>
        <v>2022</v>
      </c>
      <c r="C499" s="2">
        <f>MONTH(Sales_Dataset[[#This Row],[Order Date]])</f>
        <v>5</v>
      </c>
      <c r="D499" t="s">
        <v>473</v>
      </c>
      <c r="E499" t="s">
        <v>15</v>
      </c>
      <c r="F499" t="s">
        <v>24</v>
      </c>
      <c r="G499" t="s">
        <v>25</v>
      </c>
      <c r="H499" s="5">
        <v>4936</v>
      </c>
      <c r="I499">
        <v>19</v>
      </c>
      <c r="J499" s="5">
        <v>576</v>
      </c>
    </row>
    <row r="500" spans="1:10" x14ac:dyDescent="0.35">
      <c r="A500" s="1">
        <v>44697</v>
      </c>
      <c r="B500" s="2">
        <f>YEAR(Sales_Dataset[[#This Row],[Order Date]])</f>
        <v>2022</v>
      </c>
      <c r="C500" s="2">
        <f>MONTH(Sales_Dataset[[#This Row],[Order Date]])</f>
        <v>5</v>
      </c>
      <c r="D500" t="s">
        <v>607</v>
      </c>
      <c r="E500" t="s">
        <v>15</v>
      </c>
      <c r="F500" t="s">
        <v>10</v>
      </c>
      <c r="G500" t="s">
        <v>16</v>
      </c>
      <c r="H500" s="5">
        <v>9399</v>
      </c>
      <c r="I500">
        <v>12</v>
      </c>
      <c r="J500" s="5">
        <v>1949</v>
      </c>
    </row>
    <row r="501" spans="1:10" x14ac:dyDescent="0.35">
      <c r="A501" s="1">
        <v>44697</v>
      </c>
      <c r="B501" s="2">
        <f>YEAR(Sales_Dataset[[#This Row],[Order Date]])</f>
        <v>2022</v>
      </c>
      <c r="C501" s="2">
        <f>MONTH(Sales_Dataset[[#This Row],[Order Date]])</f>
        <v>5</v>
      </c>
      <c r="D501" t="s">
        <v>607</v>
      </c>
      <c r="E501" t="s">
        <v>15</v>
      </c>
      <c r="F501" t="s">
        <v>24</v>
      </c>
      <c r="G501" t="s">
        <v>31</v>
      </c>
      <c r="H501" s="5">
        <v>7957</v>
      </c>
      <c r="I501">
        <v>4</v>
      </c>
      <c r="J501" s="5">
        <v>965</v>
      </c>
    </row>
    <row r="502" spans="1:10" x14ac:dyDescent="0.35">
      <c r="A502" s="1">
        <v>44698</v>
      </c>
      <c r="B502" s="2">
        <f>YEAR(Sales_Dataset[[#This Row],[Order Date]])</f>
        <v>2022</v>
      </c>
      <c r="C502" s="2">
        <f>MONTH(Sales_Dataset[[#This Row],[Order Date]])</f>
        <v>5</v>
      </c>
      <c r="D502" t="s">
        <v>716</v>
      </c>
      <c r="E502" t="s">
        <v>47</v>
      </c>
      <c r="F502" t="s">
        <v>10</v>
      </c>
      <c r="G502" t="s">
        <v>23</v>
      </c>
      <c r="H502" s="5">
        <v>3854</v>
      </c>
      <c r="I502">
        <v>19</v>
      </c>
      <c r="J502" s="5">
        <v>245</v>
      </c>
    </row>
    <row r="503" spans="1:10" x14ac:dyDescent="0.35">
      <c r="A503" s="1">
        <v>44699</v>
      </c>
      <c r="B503" s="2">
        <f>YEAR(Sales_Dataset[[#This Row],[Order Date]])</f>
        <v>2022</v>
      </c>
      <c r="C503" s="2">
        <f>MONTH(Sales_Dataset[[#This Row],[Order Date]])</f>
        <v>5</v>
      </c>
      <c r="D503" t="s">
        <v>301</v>
      </c>
      <c r="E503" t="s">
        <v>36</v>
      </c>
      <c r="F503" t="s">
        <v>24</v>
      </c>
      <c r="G503" t="s">
        <v>25</v>
      </c>
      <c r="H503" s="5">
        <v>4906</v>
      </c>
      <c r="I503">
        <v>7</v>
      </c>
      <c r="J503" s="5">
        <v>975</v>
      </c>
    </row>
    <row r="504" spans="1:10" x14ac:dyDescent="0.35">
      <c r="A504" s="1">
        <v>44704</v>
      </c>
      <c r="B504" s="2">
        <f>YEAR(Sales_Dataset[[#This Row],[Order Date]])</f>
        <v>2022</v>
      </c>
      <c r="C504" s="2">
        <f>MONTH(Sales_Dataset[[#This Row],[Order Date]])</f>
        <v>5</v>
      </c>
      <c r="D504" t="s">
        <v>740</v>
      </c>
      <c r="E504" t="s">
        <v>15</v>
      </c>
      <c r="F504" t="s">
        <v>24</v>
      </c>
      <c r="G504" t="s">
        <v>25</v>
      </c>
      <c r="H504" s="5">
        <v>847</v>
      </c>
      <c r="I504">
        <v>17</v>
      </c>
      <c r="J504" s="5">
        <v>355</v>
      </c>
    </row>
    <row r="505" spans="1:10" x14ac:dyDescent="0.35">
      <c r="A505" s="1">
        <v>44708</v>
      </c>
      <c r="B505" s="2">
        <f>YEAR(Sales_Dataset[[#This Row],[Order Date]])</f>
        <v>2022</v>
      </c>
      <c r="C505" s="2">
        <f>MONTH(Sales_Dataset[[#This Row],[Order Date]])</f>
        <v>5</v>
      </c>
      <c r="D505" t="s">
        <v>543</v>
      </c>
      <c r="E505" t="s">
        <v>9</v>
      </c>
      <c r="F505" t="s">
        <v>18</v>
      </c>
      <c r="G505" t="s">
        <v>39</v>
      </c>
      <c r="H505" s="5">
        <v>8560</v>
      </c>
      <c r="I505">
        <v>19</v>
      </c>
      <c r="J505" s="5">
        <v>2166</v>
      </c>
    </row>
    <row r="506" spans="1:10" x14ac:dyDescent="0.35">
      <c r="A506" s="1">
        <v>44708</v>
      </c>
      <c r="B506" s="2">
        <f>YEAR(Sales_Dataset[[#This Row],[Order Date]])</f>
        <v>2022</v>
      </c>
      <c r="C506" s="2">
        <f>MONTH(Sales_Dataset[[#This Row],[Order Date]])</f>
        <v>5</v>
      </c>
      <c r="D506" t="s">
        <v>543</v>
      </c>
      <c r="E506" t="s">
        <v>9</v>
      </c>
      <c r="F506" t="s">
        <v>10</v>
      </c>
      <c r="G506" t="s">
        <v>11</v>
      </c>
      <c r="H506" s="5">
        <v>1031</v>
      </c>
      <c r="I506">
        <v>20</v>
      </c>
      <c r="J506" s="5">
        <v>318</v>
      </c>
    </row>
    <row r="507" spans="1:10" x14ac:dyDescent="0.35">
      <c r="A507" s="1">
        <v>44711</v>
      </c>
      <c r="B507" s="2">
        <f>YEAR(Sales_Dataset[[#This Row],[Order Date]])</f>
        <v>2022</v>
      </c>
      <c r="C507" s="2">
        <f>MONTH(Sales_Dataset[[#This Row],[Order Date]])</f>
        <v>5</v>
      </c>
      <c r="D507" t="s">
        <v>228</v>
      </c>
      <c r="E507" t="s">
        <v>9</v>
      </c>
      <c r="F507" t="s">
        <v>10</v>
      </c>
      <c r="G507" t="s">
        <v>16</v>
      </c>
      <c r="H507" s="5">
        <v>9057</v>
      </c>
      <c r="I507">
        <v>19</v>
      </c>
      <c r="J507" s="5">
        <v>1888</v>
      </c>
    </row>
    <row r="508" spans="1:10" x14ac:dyDescent="0.35">
      <c r="A508" s="1">
        <v>44711</v>
      </c>
      <c r="B508" s="2">
        <f>YEAR(Sales_Dataset[[#This Row],[Order Date]])</f>
        <v>2022</v>
      </c>
      <c r="C508" s="2">
        <f>MONTH(Sales_Dataset[[#This Row],[Order Date]])</f>
        <v>5</v>
      </c>
      <c r="D508" t="s">
        <v>228</v>
      </c>
      <c r="E508" t="s">
        <v>9</v>
      </c>
      <c r="F508" t="s">
        <v>24</v>
      </c>
      <c r="G508" t="s">
        <v>25</v>
      </c>
      <c r="H508" s="5">
        <v>6864</v>
      </c>
      <c r="I508">
        <v>11</v>
      </c>
      <c r="J508" s="5">
        <v>3275</v>
      </c>
    </row>
    <row r="509" spans="1:10" x14ac:dyDescent="0.35">
      <c r="A509" s="1">
        <v>44711</v>
      </c>
      <c r="B509" s="2">
        <f>YEAR(Sales_Dataset[[#This Row],[Order Date]])</f>
        <v>2022</v>
      </c>
      <c r="C509" s="2">
        <f>MONTH(Sales_Dataset[[#This Row],[Order Date]])</f>
        <v>5</v>
      </c>
      <c r="D509" t="s">
        <v>228</v>
      </c>
      <c r="E509" t="s">
        <v>9</v>
      </c>
      <c r="F509" t="s">
        <v>10</v>
      </c>
      <c r="G509" t="s">
        <v>23</v>
      </c>
      <c r="H509" s="5">
        <v>9200</v>
      </c>
      <c r="I509">
        <v>13</v>
      </c>
      <c r="J509" s="5">
        <v>809</v>
      </c>
    </row>
    <row r="510" spans="1:10" x14ac:dyDescent="0.35">
      <c r="A510" s="1">
        <v>44716</v>
      </c>
      <c r="B510" s="2">
        <f>YEAR(Sales_Dataset[[#This Row],[Order Date]])</f>
        <v>2022</v>
      </c>
      <c r="C510" s="2">
        <f>MONTH(Sales_Dataset[[#This Row],[Order Date]])</f>
        <v>6</v>
      </c>
      <c r="D510" t="s">
        <v>526</v>
      </c>
      <c r="E510" t="s">
        <v>22</v>
      </c>
      <c r="F510" t="s">
        <v>10</v>
      </c>
      <c r="G510" t="s">
        <v>23</v>
      </c>
      <c r="H510" s="5">
        <v>6829</v>
      </c>
      <c r="I510">
        <v>2</v>
      </c>
      <c r="J510" s="5">
        <v>2609</v>
      </c>
    </row>
    <row r="511" spans="1:10" x14ac:dyDescent="0.35">
      <c r="A511" s="1">
        <v>44716</v>
      </c>
      <c r="B511" s="2">
        <f>YEAR(Sales_Dataset[[#This Row],[Order Date]])</f>
        <v>2022</v>
      </c>
      <c r="C511" s="2">
        <f>MONTH(Sales_Dataset[[#This Row],[Order Date]])</f>
        <v>6</v>
      </c>
      <c r="D511" t="s">
        <v>526</v>
      </c>
      <c r="E511" t="s">
        <v>22</v>
      </c>
      <c r="F511" t="s">
        <v>18</v>
      </c>
      <c r="G511" t="s">
        <v>33</v>
      </c>
      <c r="H511" s="5">
        <v>6390</v>
      </c>
      <c r="I511">
        <v>12</v>
      </c>
      <c r="J511" s="5">
        <v>3089</v>
      </c>
    </row>
    <row r="512" spans="1:10" x14ac:dyDescent="0.35">
      <c r="A512" s="1">
        <v>44717</v>
      </c>
      <c r="B512" s="2">
        <f>YEAR(Sales_Dataset[[#This Row],[Order Date]])</f>
        <v>2022</v>
      </c>
      <c r="C512" s="2">
        <f>MONTH(Sales_Dataset[[#This Row],[Order Date]])</f>
        <v>6</v>
      </c>
      <c r="D512" t="s">
        <v>730</v>
      </c>
      <c r="E512" t="s">
        <v>15</v>
      </c>
      <c r="F512" t="s">
        <v>10</v>
      </c>
      <c r="G512" t="s">
        <v>11</v>
      </c>
      <c r="H512" s="5">
        <v>2684</v>
      </c>
      <c r="I512">
        <v>2</v>
      </c>
      <c r="J512" s="5">
        <v>713</v>
      </c>
    </row>
    <row r="513" spans="1:10" x14ac:dyDescent="0.35">
      <c r="A513" s="1">
        <v>44718</v>
      </c>
      <c r="B513" s="2">
        <f>YEAR(Sales_Dataset[[#This Row],[Order Date]])</f>
        <v>2022</v>
      </c>
      <c r="C513" s="2">
        <f>MONTH(Sales_Dataset[[#This Row],[Order Date]])</f>
        <v>6</v>
      </c>
      <c r="D513" t="s">
        <v>373</v>
      </c>
      <c r="E513" t="s">
        <v>13</v>
      </c>
      <c r="F513" t="s">
        <v>18</v>
      </c>
      <c r="G513" t="s">
        <v>39</v>
      </c>
      <c r="H513" s="5">
        <v>6690</v>
      </c>
      <c r="I513">
        <v>19</v>
      </c>
      <c r="J513" s="5">
        <v>1001</v>
      </c>
    </row>
    <row r="514" spans="1:10" x14ac:dyDescent="0.35">
      <c r="A514" s="1">
        <v>44718</v>
      </c>
      <c r="B514" s="2">
        <f>YEAR(Sales_Dataset[[#This Row],[Order Date]])</f>
        <v>2022</v>
      </c>
      <c r="C514" s="2">
        <f>MONTH(Sales_Dataset[[#This Row],[Order Date]])</f>
        <v>6</v>
      </c>
      <c r="D514" t="s">
        <v>373</v>
      </c>
      <c r="E514" t="s">
        <v>13</v>
      </c>
      <c r="F514" t="s">
        <v>24</v>
      </c>
      <c r="G514" t="s">
        <v>51</v>
      </c>
      <c r="H514" s="5">
        <v>4985</v>
      </c>
      <c r="I514">
        <v>10</v>
      </c>
      <c r="J514" s="5">
        <v>1920</v>
      </c>
    </row>
    <row r="515" spans="1:10" x14ac:dyDescent="0.35">
      <c r="A515" s="1">
        <v>44720</v>
      </c>
      <c r="B515" s="2">
        <f>YEAR(Sales_Dataset[[#This Row],[Order Date]])</f>
        <v>2022</v>
      </c>
      <c r="C515" s="2">
        <f>MONTH(Sales_Dataset[[#This Row],[Order Date]])</f>
        <v>6</v>
      </c>
      <c r="D515" t="s">
        <v>193</v>
      </c>
      <c r="E515" t="s">
        <v>13</v>
      </c>
      <c r="F515" t="s">
        <v>10</v>
      </c>
      <c r="G515" t="s">
        <v>23</v>
      </c>
      <c r="H515" s="5">
        <v>1239</v>
      </c>
      <c r="I515">
        <v>17</v>
      </c>
      <c r="J515" s="5">
        <v>575</v>
      </c>
    </row>
    <row r="516" spans="1:10" x14ac:dyDescent="0.35">
      <c r="A516" s="1">
        <v>44720</v>
      </c>
      <c r="B516" s="2">
        <f>YEAR(Sales_Dataset[[#This Row],[Order Date]])</f>
        <v>2022</v>
      </c>
      <c r="C516" s="2">
        <f>MONTH(Sales_Dataset[[#This Row],[Order Date]])</f>
        <v>6</v>
      </c>
      <c r="D516" t="s">
        <v>193</v>
      </c>
      <c r="E516" t="s">
        <v>13</v>
      </c>
      <c r="F516" t="s">
        <v>10</v>
      </c>
      <c r="G516" t="s">
        <v>11</v>
      </c>
      <c r="H516" s="5">
        <v>1262</v>
      </c>
      <c r="I516">
        <v>16</v>
      </c>
      <c r="J516" s="5">
        <v>515</v>
      </c>
    </row>
    <row r="517" spans="1:10" x14ac:dyDescent="0.35">
      <c r="A517" s="1">
        <v>44721</v>
      </c>
      <c r="B517" s="2">
        <f>YEAR(Sales_Dataset[[#This Row],[Order Date]])</f>
        <v>2022</v>
      </c>
      <c r="C517" s="2">
        <f>MONTH(Sales_Dataset[[#This Row],[Order Date]])</f>
        <v>6</v>
      </c>
      <c r="D517" t="s">
        <v>785</v>
      </c>
      <c r="E517" t="s">
        <v>22</v>
      </c>
      <c r="F517" t="s">
        <v>24</v>
      </c>
      <c r="G517" t="s">
        <v>31</v>
      </c>
      <c r="H517" s="5">
        <v>7091</v>
      </c>
      <c r="I517">
        <v>10</v>
      </c>
      <c r="J517" s="5">
        <v>2317</v>
      </c>
    </row>
    <row r="518" spans="1:10" x14ac:dyDescent="0.35">
      <c r="A518" s="1">
        <v>44722</v>
      </c>
      <c r="B518" s="2">
        <f>YEAR(Sales_Dataset[[#This Row],[Order Date]])</f>
        <v>2022</v>
      </c>
      <c r="C518" s="2">
        <f>MONTH(Sales_Dataset[[#This Row],[Order Date]])</f>
        <v>6</v>
      </c>
      <c r="D518" t="s">
        <v>113</v>
      </c>
      <c r="E518" t="s">
        <v>36</v>
      </c>
      <c r="F518" t="s">
        <v>24</v>
      </c>
      <c r="G518" t="s">
        <v>25</v>
      </c>
      <c r="H518" s="5">
        <v>9835</v>
      </c>
      <c r="I518">
        <v>16</v>
      </c>
      <c r="J518" s="5">
        <v>2571</v>
      </c>
    </row>
    <row r="519" spans="1:10" x14ac:dyDescent="0.35">
      <c r="A519" s="1">
        <v>44722</v>
      </c>
      <c r="B519" s="2">
        <f>YEAR(Sales_Dataset[[#This Row],[Order Date]])</f>
        <v>2022</v>
      </c>
      <c r="C519" s="2">
        <f>MONTH(Sales_Dataset[[#This Row],[Order Date]])</f>
        <v>6</v>
      </c>
      <c r="D519" t="s">
        <v>113</v>
      </c>
      <c r="E519" t="s">
        <v>36</v>
      </c>
      <c r="F519" t="s">
        <v>18</v>
      </c>
      <c r="G519" t="s">
        <v>30</v>
      </c>
      <c r="H519" s="5">
        <v>9691</v>
      </c>
      <c r="I519">
        <v>13</v>
      </c>
      <c r="J519" s="5">
        <v>3056</v>
      </c>
    </row>
    <row r="520" spans="1:10" x14ac:dyDescent="0.35">
      <c r="A520" s="1">
        <v>44722</v>
      </c>
      <c r="B520" s="2">
        <f>YEAR(Sales_Dataset[[#This Row],[Order Date]])</f>
        <v>2022</v>
      </c>
      <c r="C520" s="2">
        <f>MONTH(Sales_Dataset[[#This Row],[Order Date]])</f>
        <v>6</v>
      </c>
      <c r="D520" t="s">
        <v>113</v>
      </c>
      <c r="E520" t="s">
        <v>36</v>
      </c>
      <c r="F520" t="s">
        <v>24</v>
      </c>
      <c r="G520" t="s">
        <v>51</v>
      </c>
      <c r="H520" s="5">
        <v>7826</v>
      </c>
      <c r="I520">
        <v>14</v>
      </c>
      <c r="J520" s="5">
        <v>1221</v>
      </c>
    </row>
    <row r="521" spans="1:10" x14ac:dyDescent="0.35">
      <c r="A521" s="1">
        <v>44725</v>
      </c>
      <c r="B521" s="2">
        <f>YEAR(Sales_Dataset[[#This Row],[Order Date]])</f>
        <v>2022</v>
      </c>
      <c r="C521" s="2">
        <f>MONTH(Sales_Dataset[[#This Row],[Order Date]])</f>
        <v>6</v>
      </c>
      <c r="D521" t="s">
        <v>277</v>
      </c>
      <c r="E521" t="s">
        <v>15</v>
      </c>
      <c r="F521" t="s">
        <v>10</v>
      </c>
      <c r="G521" t="s">
        <v>23</v>
      </c>
      <c r="H521" s="5">
        <v>721</v>
      </c>
      <c r="I521">
        <v>13</v>
      </c>
      <c r="J521" s="5">
        <v>258</v>
      </c>
    </row>
    <row r="522" spans="1:10" x14ac:dyDescent="0.35">
      <c r="A522" s="1">
        <v>44725</v>
      </c>
      <c r="B522" s="2">
        <f>YEAR(Sales_Dataset[[#This Row],[Order Date]])</f>
        <v>2022</v>
      </c>
      <c r="C522" s="2">
        <f>MONTH(Sales_Dataset[[#This Row],[Order Date]])</f>
        <v>6</v>
      </c>
      <c r="D522" t="s">
        <v>277</v>
      </c>
      <c r="E522" t="s">
        <v>15</v>
      </c>
      <c r="F522" t="s">
        <v>10</v>
      </c>
      <c r="G522" t="s">
        <v>23</v>
      </c>
      <c r="H522" s="5">
        <v>8364</v>
      </c>
      <c r="I522">
        <v>17</v>
      </c>
      <c r="J522" s="5">
        <v>3055</v>
      </c>
    </row>
    <row r="523" spans="1:10" x14ac:dyDescent="0.35">
      <c r="A523" s="1">
        <v>44725</v>
      </c>
      <c r="B523" s="2">
        <f>YEAR(Sales_Dataset[[#This Row],[Order Date]])</f>
        <v>2022</v>
      </c>
      <c r="C523" s="2">
        <f>MONTH(Sales_Dataset[[#This Row],[Order Date]])</f>
        <v>6</v>
      </c>
      <c r="D523" t="s">
        <v>277</v>
      </c>
      <c r="E523" t="s">
        <v>15</v>
      </c>
      <c r="F523" t="s">
        <v>24</v>
      </c>
      <c r="G523" t="s">
        <v>51</v>
      </c>
      <c r="H523" s="5">
        <v>5234</v>
      </c>
      <c r="I523">
        <v>15</v>
      </c>
      <c r="J523" s="5">
        <v>2021</v>
      </c>
    </row>
    <row r="524" spans="1:10" x14ac:dyDescent="0.35">
      <c r="A524" s="1">
        <v>44730</v>
      </c>
      <c r="B524" s="2">
        <f>YEAR(Sales_Dataset[[#This Row],[Order Date]])</f>
        <v>2022</v>
      </c>
      <c r="C524" s="2">
        <f>MONTH(Sales_Dataset[[#This Row],[Order Date]])</f>
        <v>6</v>
      </c>
      <c r="D524" t="s">
        <v>177</v>
      </c>
      <c r="E524" t="s">
        <v>15</v>
      </c>
      <c r="F524" t="s">
        <v>10</v>
      </c>
      <c r="G524" t="s">
        <v>16</v>
      </c>
      <c r="H524" s="5">
        <v>2701</v>
      </c>
      <c r="I524">
        <v>11</v>
      </c>
      <c r="J524" s="5">
        <v>322</v>
      </c>
    </row>
    <row r="525" spans="1:10" x14ac:dyDescent="0.35">
      <c r="A525" s="1">
        <v>44730</v>
      </c>
      <c r="B525" s="2">
        <f>YEAR(Sales_Dataset[[#This Row],[Order Date]])</f>
        <v>2022</v>
      </c>
      <c r="C525" s="2">
        <f>MONTH(Sales_Dataset[[#This Row],[Order Date]])</f>
        <v>6</v>
      </c>
      <c r="D525" t="s">
        <v>177</v>
      </c>
      <c r="E525" t="s">
        <v>15</v>
      </c>
      <c r="F525" t="s">
        <v>18</v>
      </c>
      <c r="G525" t="s">
        <v>33</v>
      </c>
      <c r="H525" s="5">
        <v>7273</v>
      </c>
      <c r="I525">
        <v>18</v>
      </c>
      <c r="J525" s="5">
        <v>2702</v>
      </c>
    </row>
    <row r="526" spans="1:10" x14ac:dyDescent="0.35">
      <c r="A526" s="1">
        <v>44731</v>
      </c>
      <c r="B526" s="2">
        <f>YEAR(Sales_Dataset[[#This Row],[Order Date]])</f>
        <v>2022</v>
      </c>
      <c r="C526" s="2">
        <f>MONTH(Sales_Dataset[[#This Row],[Order Date]])</f>
        <v>6</v>
      </c>
      <c r="D526" t="s">
        <v>272</v>
      </c>
      <c r="E526" t="s">
        <v>15</v>
      </c>
      <c r="F526" t="s">
        <v>10</v>
      </c>
      <c r="G526" t="s">
        <v>41</v>
      </c>
      <c r="H526" s="5">
        <v>4911</v>
      </c>
      <c r="I526">
        <v>20</v>
      </c>
      <c r="J526" s="5">
        <v>186</v>
      </c>
    </row>
    <row r="527" spans="1:10" x14ac:dyDescent="0.35">
      <c r="A527" s="1">
        <v>44731</v>
      </c>
      <c r="B527" s="2">
        <f>YEAR(Sales_Dataset[[#This Row],[Order Date]])</f>
        <v>2022</v>
      </c>
      <c r="C527" s="2">
        <f>MONTH(Sales_Dataset[[#This Row],[Order Date]])</f>
        <v>6</v>
      </c>
      <c r="D527" t="s">
        <v>272</v>
      </c>
      <c r="E527" t="s">
        <v>15</v>
      </c>
      <c r="F527" t="s">
        <v>24</v>
      </c>
      <c r="G527" t="s">
        <v>51</v>
      </c>
      <c r="H527" s="5">
        <v>531</v>
      </c>
      <c r="I527">
        <v>20</v>
      </c>
      <c r="J527" s="5">
        <v>189</v>
      </c>
    </row>
    <row r="528" spans="1:10" x14ac:dyDescent="0.35">
      <c r="A528" s="1">
        <v>44736</v>
      </c>
      <c r="B528" s="2">
        <f>YEAR(Sales_Dataset[[#This Row],[Order Date]])</f>
        <v>2022</v>
      </c>
      <c r="C528" s="2">
        <f>MONTH(Sales_Dataset[[#This Row],[Order Date]])</f>
        <v>6</v>
      </c>
      <c r="D528" t="s">
        <v>632</v>
      </c>
      <c r="E528" t="s">
        <v>15</v>
      </c>
      <c r="F528" t="s">
        <v>24</v>
      </c>
      <c r="G528" t="s">
        <v>31</v>
      </c>
      <c r="H528" s="5">
        <v>9914</v>
      </c>
      <c r="I528">
        <v>16</v>
      </c>
      <c r="J528" s="5">
        <v>3858</v>
      </c>
    </row>
    <row r="529" spans="1:10" x14ac:dyDescent="0.35">
      <c r="A529" s="1">
        <v>44736</v>
      </c>
      <c r="B529" s="2">
        <f>YEAR(Sales_Dataset[[#This Row],[Order Date]])</f>
        <v>2022</v>
      </c>
      <c r="C529" s="2">
        <f>MONTH(Sales_Dataset[[#This Row],[Order Date]])</f>
        <v>6</v>
      </c>
      <c r="D529" t="s">
        <v>632</v>
      </c>
      <c r="E529" t="s">
        <v>15</v>
      </c>
      <c r="F529" t="s">
        <v>18</v>
      </c>
      <c r="G529" t="s">
        <v>19</v>
      </c>
      <c r="H529" s="5">
        <v>5470</v>
      </c>
      <c r="I529">
        <v>7</v>
      </c>
      <c r="J529" s="5">
        <v>292</v>
      </c>
    </row>
    <row r="530" spans="1:10" x14ac:dyDescent="0.35">
      <c r="A530" s="1">
        <v>44736</v>
      </c>
      <c r="B530" s="2">
        <f>YEAR(Sales_Dataset[[#This Row],[Order Date]])</f>
        <v>2022</v>
      </c>
      <c r="C530" s="2">
        <f>MONTH(Sales_Dataset[[#This Row],[Order Date]])</f>
        <v>6</v>
      </c>
      <c r="D530" t="s">
        <v>632</v>
      </c>
      <c r="E530" t="s">
        <v>15</v>
      </c>
      <c r="F530" t="s">
        <v>24</v>
      </c>
      <c r="G530" t="s">
        <v>51</v>
      </c>
      <c r="H530" s="5">
        <v>1496</v>
      </c>
      <c r="I530">
        <v>17</v>
      </c>
      <c r="J530" s="5">
        <v>662</v>
      </c>
    </row>
    <row r="531" spans="1:10" x14ac:dyDescent="0.35">
      <c r="A531" s="1">
        <v>44739</v>
      </c>
      <c r="B531" s="2">
        <f>YEAR(Sales_Dataset[[#This Row],[Order Date]])</f>
        <v>2022</v>
      </c>
      <c r="C531" s="2">
        <f>MONTH(Sales_Dataset[[#This Row],[Order Date]])</f>
        <v>6</v>
      </c>
      <c r="D531" t="s">
        <v>74</v>
      </c>
      <c r="E531" t="s">
        <v>13</v>
      </c>
      <c r="F531" t="s">
        <v>10</v>
      </c>
      <c r="G531" t="s">
        <v>11</v>
      </c>
      <c r="H531" s="5">
        <v>1591</v>
      </c>
      <c r="I531">
        <v>5</v>
      </c>
      <c r="J531" s="5">
        <v>727</v>
      </c>
    </row>
    <row r="532" spans="1:10" x14ac:dyDescent="0.35">
      <c r="A532" s="1">
        <v>44739</v>
      </c>
      <c r="B532" s="2">
        <f>YEAR(Sales_Dataset[[#This Row],[Order Date]])</f>
        <v>2022</v>
      </c>
      <c r="C532" s="2">
        <f>MONTH(Sales_Dataset[[#This Row],[Order Date]])</f>
        <v>6</v>
      </c>
      <c r="D532" t="s">
        <v>279</v>
      </c>
      <c r="E532" t="s">
        <v>22</v>
      </c>
      <c r="F532" t="s">
        <v>18</v>
      </c>
      <c r="G532" t="s">
        <v>33</v>
      </c>
      <c r="H532" s="5">
        <v>9654</v>
      </c>
      <c r="I532">
        <v>1</v>
      </c>
      <c r="J532" s="5">
        <v>4111</v>
      </c>
    </row>
    <row r="533" spans="1:10" x14ac:dyDescent="0.35">
      <c r="A533" s="1">
        <v>44739</v>
      </c>
      <c r="B533" s="2">
        <f>YEAR(Sales_Dataset[[#This Row],[Order Date]])</f>
        <v>2022</v>
      </c>
      <c r="C533" s="2">
        <f>MONTH(Sales_Dataset[[#This Row],[Order Date]])</f>
        <v>6</v>
      </c>
      <c r="D533" t="s">
        <v>279</v>
      </c>
      <c r="E533" t="s">
        <v>22</v>
      </c>
      <c r="F533" t="s">
        <v>18</v>
      </c>
      <c r="G533" t="s">
        <v>39</v>
      </c>
      <c r="H533" s="5">
        <v>3112</v>
      </c>
      <c r="I533">
        <v>20</v>
      </c>
      <c r="J533" s="5">
        <v>1065</v>
      </c>
    </row>
    <row r="534" spans="1:10" x14ac:dyDescent="0.35">
      <c r="A534" s="1">
        <v>44741</v>
      </c>
      <c r="B534" s="2">
        <f>YEAR(Sales_Dataset[[#This Row],[Order Date]])</f>
        <v>2022</v>
      </c>
      <c r="C534" s="2">
        <f>MONTH(Sales_Dataset[[#This Row],[Order Date]])</f>
        <v>6</v>
      </c>
      <c r="D534" t="s">
        <v>461</v>
      </c>
      <c r="E534" t="s">
        <v>13</v>
      </c>
      <c r="F534" t="s">
        <v>18</v>
      </c>
      <c r="G534" t="s">
        <v>19</v>
      </c>
      <c r="H534" s="5">
        <v>8706</v>
      </c>
      <c r="I534">
        <v>14</v>
      </c>
      <c r="J534" s="5">
        <v>3099</v>
      </c>
    </row>
    <row r="535" spans="1:10" x14ac:dyDescent="0.35">
      <c r="A535" s="1">
        <v>44741</v>
      </c>
      <c r="B535" s="2">
        <f>YEAR(Sales_Dataset[[#This Row],[Order Date]])</f>
        <v>2022</v>
      </c>
      <c r="C535" s="2">
        <f>MONTH(Sales_Dataset[[#This Row],[Order Date]])</f>
        <v>6</v>
      </c>
      <c r="D535" t="s">
        <v>461</v>
      </c>
      <c r="E535" t="s">
        <v>13</v>
      </c>
      <c r="F535" t="s">
        <v>10</v>
      </c>
      <c r="G535" t="s">
        <v>11</v>
      </c>
      <c r="H535" s="5">
        <v>4708</v>
      </c>
      <c r="I535">
        <v>14</v>
      </c>
      <c r="J535" s="5">
        <v>696</v>
      </c>
    </row>
    <row r="536" spans="1:10" x14ac:dyDescent="0.35">
      <c r="A536" s="1">
        <v>44741</v>
      </c>
      <c r="B536" s="2">
        <f>YEAR(Sales_Dataset[[#This Row],[Order Date]])</f>
        <v>2022</v>
      </c>
      <c r="C536" s="2">
        <f>MONTH(Sales_Dataset[[#This Row],[Order Date]])</f>
        <v>6</v>
      </c>
      <c r="D536" t="s">
        <v>461</v>
      </c>
      <c r="E536" t="s">
        <v>13</v>
      </c>
      <c r="F536" t="s">
        <v>24</v>
      </c>
      <c r="G536" t="s">
        <v>27</v>
      </c>
      <c r="H536" s="5">
        <v>8089</v>
      </c>
      <c r="I536">
        <v>17</v>
      </c>
      <c r="J536" s="5">
        <v>3132</v>
      </c>
    </row>
    <row r="537" spans="1:10" x14ac:dyDescent="0.35">
      <c r="A537" s="1">
        <v>44746</v>
      </c>
      <c r="B537" s="2">
        <f>YEAR(Sales_Dataset[[#This Row],[Order Date]])</f>
        <v>2022</v>
      </c>
      <c r="C537" s="2">
        <f>MONTH(Sales_Dataset[[#This Row],[Order Date]])</f>
        <v>7</v>
      </c>
      <c r="D537" t="s">
        <v>398</v>
      </c>
      <c r="E537" t="s">
        <v>36</v>
      </c>
      <c r="F537" t="s">
        <v>24</v>
      </c>
      <c r="G537" t="s">
        <v>25</v>
      </c>
      <c r="H537" s="5">
        <v>4146</v>
      </c>
      <c r="I537">
        <v>19</v>
      </c>
      <c r="J537" s="5">
        <v>865</v>
      </c>
    </row>
    <row r="538" spans="1:10" x14ac:dyDescent="0.35">
      <c r="A538" s="1">
        <v>44746</v>
      </c>
      <c r="B538" s="2">
        <f>YEAR(Sales_Dataset[[#This Row],[Order Date]])</f>
        <v>2022</v>
      </c>
      <c r="C538" s="2">
        <f>MONTH(Sales_Dataset[[#This Row],[Order Date]])</f>
        <v>7</v>
      </c>
      <c r="D538" t="s">
        <v>398</v>
      </c>
      <c r="E538" t="s">
        <v>36</v>
      </c>
      <c r="F538" t="s">
        <v>24</v>
      </c>
      <c r="G538" t="s">
        <v>25</v>
      </c>
      <c r="H538" s="5">
        <v>3793</v>
      </c>
      <c r="I538">
        <v>7</v>
      </c>
      <c r="J538" s="5">
        <v>875</v>
      </c>
    </row>
    <row r="539" spans="1:10" x14ac:dyDescent="0.35">
      <c r="A539" s="1">
        <v>44747</v>
      </c>
      <c r="B539" s="2">
        <f>YEAR(Sales_Dataset[[#This Row],[Order Date]])</f>
        <v>2022</v>
      </c>
      <c r="C539" s="2">
        <f>MONTH(Sales_Dataset[[#This Row],[Order Date]])</f>
        <v>7</v>
      </c>
      <c r="D539" t="s">
        <v>434</v>
      </c>
      <c r="E539" t="s">
        <v>15</v>
      </c>
      <c r="F539" t="s">
        <v>18</v>
      </c>
      <c r="G539" t="s">
        <v>30</v>
      </c>
      <c r="H539" s="5">
        <v>7195</v>
      </c>
      <c r="I539">
        <v>7</v>
      </c>
      <c r="J539" s="5">
        <v>1665</v>
      </c>
    </row>
    <row r="540" spans="1:10" x14ac:dyDescent="0.35">
      <c r="A540" s="1">
        <v>44755</v>
      </c>
      <c r="B540" s="2">
        <f>YEAR(Sales_Dataset[[#This Row],[Order Date]])</f>
        <v>2022</v>
      </c>
      <c r="C540" s="2">
        <f>MONTH(Sales_Dataset[[#This Row],[Order Date]])</f>
        <v>7</v>
      </c>
      <c r="D540" t="s">
        <v>793</v>
      </c>
      <c r="E540" t="s">
        <v>15</v>
      </c>
      <c r="F540" t="s">
        <v>24</v>
      </c>
      <c r="G540" t="s">
        <v>25</v>
      </c>
      <c r="H540" s="5">
        <v>5460</v>
      </c>
      <c r="I540">
        <v>14</v>
      </c>
      <c r="J540" s="5">
        <v>2088</v>
      </c>
    </row>
    <row r="541" spans="1:10" x14ac:dyDescent="0.35">
      <c r="A541" s="1">
        <v>44757</v>
      </c>
      <c r="B541" s="2">
        <f>YEAR(Sales_Dataset[[#This Row],[Order Date]])</f>
        <v>2022</v>
      </c>
      <c r="C541" s="2">
        <f>MONTH(Sales_Dataset[[#This Row],[Order Date]])</f>
        <v>7</v>
      </c>
      <c r="D541" t="s">
        <v>230</v>
      </c>
      <c r="E541" t="s">
        <v>47</v>
      </c>
      <c r="F541" t="s">
        <v>24</v>
      </c>
      <c r="G541" t="s">
        <v>25</v>
      </c>
      <c r="H541" s="5">
        <v>4364</v>
      </c>
      <c r="I541">
        <v>18</v>
      </c>
      <c r="J541" s="5">
        <v>148</v>
      </c>
    </row>
    <row r="542" spans="1:10" x14ac:dyDescent="0.35">
      <c r="A542" s="1">
        <v>44757</v>
      </c>
      <c r="B542" s="2">
        <f>YEAR(Sales_Dataset[[#This Row],[Order Date]])</f>
        <v>2022</v>
      </c>
      <c r="C542" s="2">
        <f>MONTH(Sales_Dataset[[#This Row],[Order Date]])</f>
        <v>7</v>
      </c>
      <c r="D542" t="s">
        <v>230</v>
      </c>
      <c r="E542" t="s">
        <v>47</v>
      </c>
      <c r="F542" t="s">
        <v>18</v>
      </c>
      <c r="G542" t="s">
        <v>19</v>
      </c>
      <c r="H542" s="5">
        <v>736</v>
      </c>
      <c r="I542">
        <v>12</v>
      </c>
      <c r="J542" s="5">
        <v>286</v>
      </c>
    </row>
    <row r="543" spans="1:10" x14ac:dyDescent="0.35">
      <c r="A543" s="1">
        <v>44758</v>
      </c>
      <c r="B543" s="2">
        <f>YEAR(Sales_Dataset[[#This Row],[Order Date]])</f>
        <v>2022</v>
      </c>
      <c r="C543" s="2">
        <f>MONTH(Sales_Dataset[[#This Row],[Order Date]])</f>
        <v>7</v>
      </c>
      <c r="D543" t="s">
        <v>211</v>
      </c>
      <c r="E543" t="s">
        <v>47</v>
      </c>
      <c r="F543" t="s">
        <v>24</v>
      </c>
      <c r="G543" t="s">
        <v>27</v>
      </c>
      <c r="H543" s="5">
        <v>2666</v>
      </c>
      <c r="I543">
        <v>14</v>
      </c>
      <c r="J543" s="5">
        <v>559</v>
      </c>
    </row>
    <row r="544" spans="1:10" x14ac:dyDescent="0.35">
      <c r="A544" s="1">
        <v>44758</v>
      </c>
      <c r="B544" s="2">
        <f>YEAR(Sales_Dataset[[#This Row],[Order Date]])</f>
        <v>2022</v>
      </c>
      <c r="C544" s="2">
        <f>MONTH(Sales_Dataset[[#This Row],[Order Date]])</f>
        <v>7</v>
      </c>
      <c r="D544" t="s">
        <v>257</v>
      </c>
      <c r="E544" t="s">
        <v>9</v>
      </c>
      <c r="F544" t="s">
        <v>10</v>
      </c>
      <c r="G544" t="s">
        <v>41</v>
      </c>
      <c r="H544" s="5">
        <v>6008</v>
      </c>
      <c r="I544">
        <v>17</v>
      </c>
      <c r="J544" s="5">
        <v>2498</v>
      </c>
    </row>
    <row r="545" spans="1:10" x14ac:dyDescent="0.35">
      <c r="A545" s="1">
        <v>44759</v>
      </c>
      <c r="B545" s="2">
        <f>YEAR(Sales_Dataset[[#This Row],[Order Date]])</f>
        <v>2022</v>
      </c>
      <c r="C545" s="2">
        <f>MONTH(Sales_Dataset[[#This Row],[Order Date]])</f>
        <v>7</v>
      </c>
      <c r="D545" t="s">
        <v>504</v>
      </c>
      <c r="E545" t="s">
        <v>15</v>
      </c>
      <c r="F545" t="s">
        <v>10</v>
      </c>
      <c r="G545" t="s">
        <v>41</v>
      </c>
      <c r="H545" s="5">
        <v>599</v>
      </c>
      <c r="I545">
        <v>4</v>
      </c>
      <c r="J545" s="5">
        <v>265</v>
      </c>
    </row>
    <row r="546" spans="1:10" x14ac:dyDescent="0.35">
      <c r="A546" s="1">
        <v>44759</v>
      </c>
      <c r="B546" s="2">
        <f>YEAR(Sales_Dataset[[#This Row],[Order Date]])</f>
        <v>2022</v>
      </c>
      <c r="C546" s="2">
        <f>MONTH(Sales_Dataset[[#This Row],[Order Date]])</f>
        <v>7</v>
      </c>
      <c r="D546" t="s">
        <v>504</v>
      </c>
      <c r="E546" t="s">
        <v>15</v>
      </c>
      <c r="F546" t="s">
        <v>24</v>
      </c>
      <c r="G546" t="s">
        <v>51</v>
      </c>
      <c r="H546" s="5">
        <v>2727</v>
      </c>
      <c r="I546">
        <v>10</v>
      </c>
      <c r="J546" s="5">
        <v>543</v>
      </c>
    </row>
    <row r="547" spans="1:10" x14ac:dyDescent="0.35">
      <c r="A547" s="1">
        <v>44760</v>
      </c>
      <c r="B547" s="2">
        <f>YEAR(Sales_Dataset[[#This Row],[Order Date]])</f>
        <v>2022</v>
      </c>
      <c r="C547" s="2">
        <f>MONTH(Sales_Dataset[[#This Row],[Order Date]])</f>
        <v>7</v>
      </c>
      <c r="D547" t="s">
        <v>241</v>
      </c>
      <c r="E547" t="s">
        <v>36</v>
      </c>
      <c r="F547" t="s">
        <v>10</v>
      </c>
      <c r="G547" t="s">
        <v>11</v>
      </c>
      <c r="H547" s="5">
        <v>7643</v>
      </c>
      <c r="I547">
        <v>19</v>
      </c>
      <c r="J547" s="5">
        <v>3720</v>
      </c>
    </row>
    <row r="548" spans="1:10" x14ac:dyDescent="0.35">
      <c r="A548" s="1">
        <v>44764</v>
      </c>
      <c r="B548" s="2">
        <f>YEAR(Sales_Dataset[[#This Row],[Order Date]])</f>
        <v>2022</v>
      </c>
      <c r="C548" s="2">
        <f>MONTH(Sales_Dataset[[#This Row],[Order Date]])</f>
        <v>7</v>
      </c>
      <c r="D548" t="s">
        <v>723</v>
      </c>
      <c r="E548" t="s">
        <v>15</v>
      </c>
      <c r="F548" t="s">
        <v>10</v>
      </c>
      <c r="G548" t="s">
        <v>11</v>
      </c>
      <c r="H548" s="5">
        <v>1454</v>
      </c>
      <c r="I548">
        <v>20</v>
      </c>
      <c r="J548" s="5">
        <v>80</v>
      </c>
    </row>
    <row r="549" spans="1:10" x14ac:dyDescent="0.35">
      <c r="A549" s="1">
        <v>44765</v>
      </c>
      <c r="B549" s="2">
        <f>YEAR(Sales_Dataset[[#This Row],[Order Date]])</f>
        <v>2022</v>
      </c>
      <c r="C549" s="2">
        <f>MONTH(Sales_Dataset[[#This Row],[Order Date]])</f>
        <v>7</v>
      </c>
      <c r="D549" t="s">
        <v>627</v>
      </c>
      <c r="E549" t="s">
        <v>13</v>
      </c>
      <c r="F549" t="s">
        <v>18</v>
      </c>
      <c r="G549" t="s">
        <v>39</v>
      </c>
      <c r="H549" s="5">
        <v>962</v>
      </c>
      <c r="I549">
        <v>18</v>
      </c>
      <c r="J549" s="5">
        <v>298</v>
      </c>
    </row>
    <row r="550" spans="1:10" x14ac:dyDescent="0.35">
      <c r="A550" s="1">
        <v>44767</v>
      </c>
      <c r="B550" s="2">
        <f>YEAR(Sales_Dataset[[#This Row],[Order Date]])</f>
        <v>2022</v>
      </c>
      <c r="C550" s="2">
        <f>MONTH(Sales_Dataset[[#This Row],[Order Date]])</f>
        <v>7</v>
      </c>
      <c r="D550" t="s">
        <v>683</v>
      </c>
      <c r="E550" t="s">
        <v>9</v>
      </c>
      <c r="F550" t="s">
        <v>24</v>
      </c>
      <c r="G550" t="s">
        <v>31</v>
      </c>
      <c r="H550" s="5">
        <v>5346</v>
      </c>
      <c r="I550">
        <v>17</v>
      </c>
      <c r="J550" s="5">
        <v>1246</v>
      </c>
    </row>
    <row r="551" spans="1:10" x14ac:dyDescent="0.35">
      <c r="A551" s="1">
        <v>44768</v>
      </c>
      <c r="B551" s="2">
        <f>YEAR(Sales_Dataset[[#This Row],[Order Date]])</f>
        <v>2022</v>
      </c>
      <c r="C551" s="2">
        <f>MONTH(Sales_Dataset[[#This Row],[Order Date]])</f>
        <v>7</v>
      </c>
      <c r="D551" t="s">
        <v>762</v>
      </c>
      <c r="E551" t="s">
        <v>47</v>
      </c>
      <c r="F551" t="s">
        <v>10</v>
      </c>
      <c r="G551" t="s">
        <v>23</v>
      </c>
      <c r="H551" s="5">
        <v>5951</v>
      </c>
      <c r="I551">
        <v>6</v>
      </c>
      <c r="J551" s="5">
        <v>936</v>
      </c>
    </row>
    <row r="552" spans="1:10" x14ac:dyDescent="0.35">
      <c r="A552" s="1">
        <v>44770</v>
      </c>
      <c r="B552" s="2">
        <f>YEAR(Sales_Dataset[[#This Row],[Order Date]])</f>
        <v>2022</v>
      </c>
      <c r="C552" s="2">
        <f>MONTH(Sales_Dataset[[#This Row],[Order Date]])</f>
        <v>7</v>
      </c>
      <c r="D552" t="s">
        <v>697</v>
      </c>
      <c r="E552" t="s">
        <v>13</v>
      </c>
      <c r="F552" t="s">
        <v>24</v>
      </c>
      <c r="G552" t="s">
        <v>51</v>
      </c>
      <c r="H552" s="5">
        <v>2695</v>
      </c>
      <c r="I552">
        <v>15</v>
      </c>
      <c r="J552" s="5">
        <v>914</v>
      </c>
    </row>
    <row r="553" spans="1:10" x14ac:dyDescent="0.35">
      <c r="A553" s="1">
        <v>44774</v>
      </c>
      <c r="B553" s="2">
        <f>YEAR(Sales_Dataset[[#This Row],[Order Date]])</f>
        <v>2022</v>
      </c>
      <c r="C553" s="2">
        <f>MONTH(Sales_Dataset[[#This Row],[Order Date]])</f>
        <v>8</v>
      </c>
      <c r="D553" t="s">
        <v>258</v>
      </c>
      <c r="E553" t="s">
        <v>36</v>
      </c>
      <c r="F553" t="s">
        <v>24</v>
      </c>
      <c r="G553" t="s">
        <v>51</v>
      </c>
      <c r="H553" s="5">
        <v>7344</v>
      </c>
      <c r="I553">
        <v>20</v>
      </c>
      <c r="J553" s="5">
        <v>2598</v>
      </c>
    </row>
    <row r="554" spans="1:10" x14ac:dyDescent="0.35">
      <c r="A554" s="1">
        <v>44781</v>
      </c>
      <c r="B554" s="2">
        <f>YEAR(Sales_Dataset[[#This Row],[Order Date]])</f>
        <v>2022</v>
      </c>
      <c r="C554" s="2">
        <f>MONTH(Sales_Dataset[[#This Row],[Order Date]])</f>
        <v>8</v>
      </c>
      <c r="D554" t="s">
        <v>109</v>
      </c>
      <c r="E554" t="s">
        <v>47</v>
      </c>
      <c r="F554" t="s">
        <v>18</v>
      </c>
      <c r="G554" t="s">
        <v>19</v>
      </c>
      <c r="H554" s="5">
        <v>8903</v>
      </c>
      <c r="I554">
        <v>18</v>
      </c>
      <c r="J554" s="5">
        <v>4401</v>
      </c>
    </row>
    <row r="555" spans="1:10" x14ac:dyDescent="0.35">
      <c r="A555" s="1">
        <v>44782</v>
      </c>
      <c r="B555" s="2">
        <f>YEAR(Sales_Dataset[[#This Row],[Order Date]])</f>
        <v>2022</v>
      </c>
      <c r="C555" s="2">
        <f>MONTH(Sales_Dataset[[#This Row],[Order Date]])</f>
        <v>8</v>
      </c>
      <c r="D555" t="s">
        <v>401</v>
      </c>
      <c r="E555" t="s">
        <v>15</v>
      </c>
      <c r="F555" t="s">
        <v>24</v>
      </c>
      <c r="G555" t="s">
        <v>31</v>
      </c>
      <c r="H555" s="5">
        <v>5448</v>
      </c>
      <c r="I555">
        <v>5</v>
      </c>
      <c r="J555" s="5">
        <v>2204</v>
      </c>
    </row>
    <row r="556" spans="1:10" x14ac:dyDescent="0.35">
      <c r="A556" s="1">
        <v>44783</v>
      </c>
      <c r="B556" s="2">
        <f>YEAR(Sales_Dataset[[#This Row],[Order Date]])</f>
        <v>2022</v>
      </c>
      <c r="C556" s="2">
        <f>MONTH(Sales_Dataset[[#This Row],[Order Date]])</f>
        <v>8</v>
      </c>
      <c r="D556" t="s">
        <v>449</v>
      </c>
      <c r="E556" t="s">
        <v>13</v>
      </c>
      <c r="F556" t="s">
        <v>18</v>
      </c>
      <c r="G556" t="s">
        <v>30</v>
      </c>
      <c r="H556" s="5">
        <v>8141</v>
      </c>
      <c r="I556">
        <v>18</v>
      </c>
      <c r="J556" s="5">
        <v>3968</v>
      </c>
    </row>
    <row r="557" spans="1:10" x14ac:dyDescent="0.35">
      <c r="A557" s="1">
        <v>44783</v>
      </c>
      <c r="B557" s="2">
        <f>YEAR(Sales_Dataset[[#This Row],[Order Date]])</f>
        <v>2022</v>
      </c>
      <c r="C557" s="2">
        <f>MONTH(Sales_Dataset[[#This Row],[Order Date]])</f>
        <v>8</v>
      </c>
      <c r="D557" t="s">
        <v>449</v>
      </c>
      <c r="E557" t="s">
        <v>13</v>
      </c>
      <c r="F557" t="s">
        <v>24</v>
      </c>
      <c r="G557" t="s">
        <v>31</v>
      </c>
      <c r="H557" s="5">
        <v>1067</v>
      </c>
      <c r="I557">
        <v>14</v>
      </c>
      <c r="J557" s="5">
        <v>251</v>
      </c>
    </row>
    <row r="558" spans="1:10" x14ac:dyDescent="0.35">
      <c r="A558" s="1">
        <v>44784</v>
      </c>
      <c r="B558" s="2">
        <f>YEAR(Sales_Dataset[[#This Row],[Order Date]])</f>
        <v>2022</v>
      </c>
      <c r="C558" s="2">
        <f>MONTH(Sales_Dataset[[#This Row],[Order Date]])</f>
        <v>8</v>
      </c>
      <c r="D558" t="s">
        <v>128</v>
      </c>
      <c r="E558" t="s">
        <v>9</v>
      </c>
      <c r="F558" t="s">
        <v>18</v>
      </c>
      <c r="G558" t="s">
        <v>33</v>
      </c>
      <c r="H558" s="5">
        <v>9883</v>
      </c>
      <c r="I558">
        <v>16</v>
      </c>
      <c r="J558" s="5">
        <v>4812</v>
      </c>
    </row>
    <row r="559" spans="1:10" x14ac:dyDescent="0.35">
      <c r="A559" s="1">
        <v>44784</v>
      </c>
      <c r="B559" s="2">
        <f>YEAR(Sales_Dataset[[#This Row],[Order Date]])</f>
        <v>2022</v>
      </c>
      <c r="C559" s="2">
        <f>MONTH(Sales_Dataset[[#This Row],[Order Date]])</f>
        <v>8</v>
      </c>
      <c r="D559" t="s">
        <v>128</v>
      </c>
      <c r="E559" t="s">
        <v>9</v>
      </c>
      <c r="F559" t="s">
        <v>18</v>
      </c>
      <c r="G559" t="s">
        <v>33</v>
      </c>
      <c r="H559" s="5">
        <v>5210</v>
      </c>
      <c r="I559">
        <v>7</v>
      </c>
      <c r="J559" s="5">
        <v>1185</v>
      </c>
    </row>
    <row r="560" spans="1:10" x14ac:dyDescent="0.35">
      <c r="A560" s="1">
        <v>44784</v>
      </c>
      <c r="B560" s="2">
        <f>YEAR(Sales_Dataset[[#This Row],[Order Date]])</f>
        <v>2022</v>
      </c>
      <c r="C560" s="2">
        <f>MONTH(Sales_Dataset[[#This Row],[Order Date]])</f>
        <v>8</v>
      </c>
      <c r="D560" t="s">
        <v>679</v>
      </c>
      <c r="E560" t="s">
        <v>36</v>
      </c>
      <c r="F560" t="s">
        <v>18</v>
      </c>
      <c r="G560" t="s">
        <v>19</v>
      </c>
      <c r="H560" s="5">
        <v>3095</v>
      </c>
      <c r="I560">
        <v>2</v>
      </c>
      <c r="J560" s="5">
        <v>941</v>
      </c>
    </row>
    <row r="561" spans="1:10" x14ac:dyDescent="0.35">
      <c r="A561" s="1">
        <v>44784</v>
      </c>
      <c r="B561" s="2">
        <f>YEAR(Sales_Dataset[[#This Row],[Order Date]])</f>
        <v>2022</v>
      </c>
      <c r="C561" s="2">
        <f>MONTH(Sales_Dataset[[#This Row],[Order Date]])</f>
        <v>8</v>
      </c>
      <c r="D561" t="s">
        <v>685</v>
      </c>
      <c r="E561" t="s">
        <v>22</v>
      </c>
      <c r="F561" t="s">
        <v>10</v>
      </c>
      <c r="G561" t="s">
        <v>16</v>
      </c>
      <c r="H561" s="5">
        <v>8422</v>
      </c>
      <c r="I561">
        <v>18</v>
      </c>
      <c r="J561" s="5">
        <v>893</v>
      </c>
    </row>
    <row r="562" spans="1:10" x14ac:dyDescent="0.35">
      <c r="A562" s="1">
        <v>44784</v>
      </c>
      <c r="B562" s="2">
        <f>YEAR(Sales_Dataset[[#This Row],[Order Date]])</f>
        <v>2022</v>
      </c>
      <c r="C562" s="2">
        <f>MONTH(Sales_Dataset[[#This Row],[Order Date]])</f>
        <v>8</v>
      </c>
      <c r="D562" t="s">
        <v>685</v>
      </c>
      <c r="E562" t="s">
        <v>22</v>
      </c>
      <c r="F562" t="s">
        <v>24</v>
      </c>
      <c r="G562" t="s">
        <v>51</v>
      </c>
      <c r="H562" s="5">
        <v>6105</v>
      </c>
      <c r="I562">
        <v>8</v>
      </c>
      <c r="J562" s="5">
        <v>1447</v>
      </c>
    </row>
    <row r="563" spans="1:10" x14ac:dyDescent="0.35">
      <c r="A563" s="1">
        <v>44785</v>
      </c>
      <c r="B563" s="2">
        <f>YEAR(Sales_Dataset[[#This Row],[Order Date]])</f>
        <v>2022</v>
      </c>
      <c r="C563" s="2">
        <f>MONTH(Sales_Dataset[[#This Row],[Order Date]])</f>
        <v>8</v>
      </c>
      <c r="D563" t="s">
        <v>158</v>
      </c>
      <c r="E563" t="s">
        <v>9</v>
      </c>
      <c r="F563" t="s">
        <v>10</v>
      </c>
      <c r="G563" t="s">
        <v>23</v>
      </c>
      <c r="H563" s="5">
        <v>1341</v>
      </c>
      <c r="I563">
        <v>4</v>
      </c>
      <c r="J563" s="5">
        <v>615</v>
      </c>
    </row>
    <row r="564" spans="1:10" x14ac:dyDescent="0.35">
      <c r="A564" s="1">
        <v>44785</v>
      </c>
      <c r="B564" s="2">
        <f>YEAR(Sales_Dataset[[#This Row],[Order Date]])</f>
        <v>2022</v>
      </c>
      <c r="C564" s="2">
        <f>MONTH(Sales_Dataset[[#This Row],[Order Date]])</f>
        <v>8</v>
      </c>
      <c r="D564" t="s">
        <v>686</v>
      </c>
      <c r="E564" t="s">
        <v>47</v>
      </c>
      <c r="F564" t="s">
        <v>10</v>
      </c>
      <c r="G564" t="s">
        <v>16</v>
      </c>
      <c r="H564" s="5">
        <v>8422</v>
      </c>
      <c r="I564">
        <v>18</v>
      </c>
      <c r="J564" s="5">
        <v>893</v>
      </c>
    </row>
    <row r="565" spans="1:10" x14ac:dyDescent="0.35">
      <c r="A565" s="1">
        <v>44785</v>
      </c>
      <c r="B565" s="2">
        <f>YEAR(Sales_Dataset[[#This Row],[Order Date]])</f>
        <v>2022</v>
      </c>
      <c r="C565" s="2">
        <f>MONTH(Sales_Dataset[[#This Row],[Order Date]])</f>
        <v>8</v>
      </c>
      <c r="D565" t="s">
        <v>686</v>
      </c>
      <c r="E565" t="s">
        <v>47</v>
      </c>
      <c r="F565" t="s">
        <v>24</v>
      </c>
      <c r="G565" t="s">
        <v>51</v>
      </c>
      <c r="H565" s="5">
        <v>6105</v>
      </c>
      <c r="I565">
        <v>8</v>
      </c>
      <c r="J565" s="5">
        <v>1447</v>
      </c>
    </row>
    <row r="566" spans="1:10" x14ac:dyDescent="0.35">
      <c r="A566" s="1">
        <v>44790</v>
      </c>
      <c r="B566" s="2">
        <f>YEAR(Sales_Dataset[[#This Row],[Order Date]])</f>
        <v>2022</v>
      </c>
      <c r="C566" s="2">
        <f>MONTH(Sales_Dataset[[#This Row],[Order Date]])</f>
        <v>8</v>
      </c>
      <c r="D566" t="s">
        <v>115</v>
      </c>
      <c r="E566" t="s">
        <v>22</v>
      </c>
      <c r="F566" t="s">
        <v>24</v>
      </c>
      <c r="G566" t="s">
        <v>25</v>
      </c>
      <c r="H566" s="5">
        <v>9835</v>
      </c>
      <c r="I566">
        <v>16</v>
      </c>
      <c r="J566" s="5">
        <v>2571</v>
      </c>
    </row>
    <row r="567" spans="1:10" x14ac:dyDescent="0.35">
      <c r="A567" s="1">
        <v>44790</v>
      </c>
      <c r="B567" s="2">
        <f>YEAR(Sales_Dataset[[#This Row],[Order Date]])</f>
        <v>2022</v>
      </c>
      <c r="C567" s="2">
        <f>MONTH(Sales_Dataset[[#This Row],[Order Date]])</f>
        <v>8</v>
      </c>
      <c r="D567" t="s">
        <v>115</v>
      </c>
      <c r="E567" t="s">
        <v>22</v>
      </c>
      <c r="F567" t="s">
        <v>18</v>
      </c>
      <c r="G567" t="s">
        <v>30</v>
      </c>
      <c r="H567" s="5">
        <v>9691</v>
      </c>
      <c r="I567">
        <v>13</v>
      </c>
      <c r="J567" s="5">
        <v>3056</v>
      </c>
    </row>
    <row r="568" spans="1:10" x14ac:dyDescent="0.35">
      <c r="A568" s="1">
        <v>44790</v>
      </c>
      <c r="B568" s="2">
        <f>YEAR(Sales_Dataset[[#This Row],[Order Date]])</f>
        <v>2022</v>
      </c>
      <c r="C568" s="2">
        <f>MONTH(Sales_Dataset[[#This Row],[Order Date]])</f>
        <v>8</v>
      </c>
      <c r="D568" t="s">
        <v>115</v>
      </c>
      <c r="E568" t="s">
        <v>22</v>
      </c>
      <c r="F568" t="s">
        <v>24</v>
      </c>
      <c r="G568" t="s">
        <v>51</v>
      </c>
      <c r="H568" s="5">
        <v>7826</v>
      </c>
      <c r="I568">
        <v>14</v>
      </c>
      <c r="J568" s="5">
        <v>1221</v>
      </c>
    </row>
    <row r="569" spans="1:10" x14ac:dyDescent="0.35">
      <c r="A569" s="1">
        <v>44792</v>
      </c>
      <c r="B569" s="2">
        <f>YEAR(Sales_Dataset[[#This Row],[Order Date]])</f>
        <v>2022</v>
      </c>
      <c r="C569" s="2">
        <f>MONTH(Sales_Dataset[[#This Row],[Order Date]])</f>
        <v>8</v>
      </c>
      <c r="D569" t="s">
        <v>776</v>
      </c>
      <c r="E569" t="s">
        <v>22</v>
      </c>
      <c r="F569" t="s">
        <v>10</v>
      </c>
      <c r="G569" t="s">
        <v>16</v>
      </c>
      <c r="H569" s="5">
        <v>2258</v>
      </c>
      <c r="I569">
        <v>18</v>
      </c>
      <c r="J569" s="5">
        <v>135</v>
      </c>
    </row>
    <row r="570" spans="1:10" x14ac:dyDescent="0.35">
      <c r="A570" s="1">
        <v>44793</v>
      </c>
      <c r="B570" s="2">
        <f>YEAR(Sales_Dataset[[#This Row],[Order Date]])</f>
        <v>2022</v>
      </c>
      <c r="C570" s="2">
        <f>MONTH(Sales_Dataset[[#This Row],[Order Date]])</f>
        <v>8</v>
      </c>
      <c r="D570" t="s">
        <v>303</v>
      </c>
      <c r="E570" t="s">
        <v>22</v>
      </c>
      <c r="F570" t="s">
        <v>24</v>
      </c>
      <c r="G570" t="s">
        <v>51</v>
      </c>
      <c r="H570" s="5">
        <v>5911</v>
      </c>
      <c r="I570">
        <v>14</v>
      </c>
      <c r="J570" s="5">
        <v>2333</v>
      </c>
    </row>
    <row r="571" spans="1:10" x14ac:dyDescent="0.35">
      <c r="A571" s="1">
        <v>44793</v>
      </c>
      <c r="B571" s="2">
        <f>YEAR(Sales_Dataset[[#This Row],[Order Date]])</f>
        <v>2022</v>
      </c>
      <c r="C571" s="2">
        <f>MONTH(Sales_Dataset[[#This Row],[Order Date]])</f>
        <v>8</v>
      </c>
      <c r="D571" t="s">
        <v>303</v>
      </c>
      <c r="E571" t="s">
        <v>22</v>
      </c>
      <c r="F571" t="s">
        <v>18</v>
      </c>
      <c r="G571" t="s">
        <v>30</v>
      </c>
      <c r="H571" s="5">
        <v>1818</v>
      </c>
      <c r="I571">
        <v>11</v>
      </c>
      <c r="J571" s="5">
        <v>738</v>
      </c>
    </row>
    <row r="572" spans="1:10" x14ac:dyDescent="0.35">
      <c r="A572" s="1">
        <v>44794</v>
      </c>
      <c r="B572" s="2">
        <f>YEAR(Sales_Dataset[[#This Row],[Order Date]])</f>
        <v>2022</v>
      </c>
      <c r="C572" s="2">
        <f>MONTH(Sales_Dataset[[#This Row],[Order Date]])</f>
        <v>8</v>
      </c>
      <c r="D572" t="s">
        <v>271</v>
      </c>
      <c r="E572" t="s">
        <v>22</v>
      </c>
      <c r="F572" t="s">
        <v>18</v>
      </c>
      <c r="G572" t="s">
        <v>39</v>
      </c>
      <c r="H572" s="5">
        <v>9894</v>
      </c>
      <c r="I572">
        <v>1</v>
      </c>
      <c r="J572" s="5">
        <v>829</v>
      </c>
    </row>
    <row r="573" spans="1:10" x14ac:dyDescent="0.35">
      <c r="A573" s="1">
        <v>44794</v>
      </c>
      <c r="B573" s="2">
        <f>YEAR(Sales_Dataset[[#This Row],[Order Date]])</f>
        <v>2022</v>
      </c>
      <c r="C573" s="2">
        <f>MONTH(Sales_Dataset[[#This Row],[Order Date]])</f>
        <v>8</v>
      </c>
      <c r="D573" t="s">
        <v>271</v>
      </c>
      <c r="E573" t="s">
        <v>22</v>
      </c>
      <c r="F573" t="s">
        <v>24</v>
      </c>
      <c r="G573" t="s">
        <v>25</v>
      </c>
      <c r="H573" s="5">
        <v>4534</v>
      </c>
      <c r="I573">
        <v>4</v>
      </c>
      <c r="J573" s="5">
        <v>2235</v>
      </c>
    </row>
    <row r="574" spans="1:10" x14ac:dyDescent="0.35">
      <c r="A574" s="1">
        <v>44794</v>
      </c>
      <c r="B574" s="2">
        <f>YEAR(Sales_Dataset[[#This Row],[Order Date]])</f>
        <v>2022</v>
      </c>
      <c r="C574" s="2">
        <f>MONTH(Sales_Dataset[[#This Row],[Order Date]])</f>
        <v>8</v>
      </c>
      <c r="D574" t="s">
        <v>483</v>
      </c>
      <c r="E574" t="s">
        <v>15</v>
      </c>
      <c r="F574" t="s">
        <v>10</v>
      </c>
      <c r="G574" t="s">
        <v>41</v>
      </c>
      <c r="H574" s="5">
        <v>6077</v>
      </c>
      <c r="I574">
        <v>18</v>
      </c>
      <c r="J574" s="5">
        <v>2378</v>
      </c>
    </row>
    <row r="575" spans="1:10" x14ac:dyDescent="0.35">
      <c r="A575" s="1">
        <v>44795</v>
      </c>
      <c r="B575" s="2">
        <f>YEAR(Sales_Dataset[[#This Row],[Order Date]])</f>
        <v>2022</v>
      </c>
      <c r="C575" s="2">
        <f>MONTH(Sales_Dataset[[#This Row],[Order Date]])</f>
        <v>8</v>
      </c>
      <c r="D575" t="s">
        <v>663</v>
      </c>
      <c r="E575" t="s">
        <v>9</v>
      </c>
      <c r="F575" t="s">
        <v>18</v>
      </c>
      <c r="G575" t="s">
        <v>33</v>
      </c>
      <c r="H575" s="5">
        <v>4172</v>
      </c>
      <c r="I575">
        <v>5</v>
      </c>
      <c r="J575" s="5">
        <v>235</v>
      </c>
    </row>
    <row r="576" spans="1:10" x14ac:dyDescent="0.35">
      <c r="A576" s="1">
        <v>44796</v>
      </c>
      <c r="B576" s="2">
        <f>YEAR(Sales_Dataset[[#This Row],[Order Date]])</f>
        <v>2022</v>
      </c>
      <c r="C576" s="2">
        <f>MONTH(Sales_Dataset[[#This Row],[Order Date]])</f>
        <v>8</v>
      </c>
      <c r="D576" t="s">
        <v>191</v>
      </c>
      <c r="E576" t="s">
        <v>13</v>
      </c>
      <c r="F576" t="s">
        <v>18</v>
      </c>
      <c r="G576" t="s">
        <v>39</v>
      </c>
      <c r="H576" s="5">
        <v>2999</v>
      </c>
      <c r="I576">
        <v>13</v>
      </c>
      <c r="J576" s="5">
        <v>145</v>
      </c>
    </row>
    <row r="577" spans="1:10" x14ac:dyDescent="0.35">
      <c r="A577" s="1">
        <v>44796</v>
      </c>
      <c r="B577" s="2">
        <f>YEAR(Sales_Dataset[[#This Row],[Order Date]])</f>
        <v>2022</v>
      </c>
      <c r="C577" s="2">
        <f>MONTH(Sales_Dataset[[#This Row],[Order Date]])</f>
        <v>8</v>
      </c>
      <c r="D577" t="s">
        <v>191</v>
      </c>
      <c r="E577" t="s">
        <v>13</v>
      </c>
      <c r="F577" t="s">
        <v>18</v>
      </c>
      <c r="G577" t="s">
        <v>33</v>
      </c>
      <c r="H577" s="5">
        <v>5142</v>
      </c>
      <c r="I577">
        <v>20</v>
      </c>
      <c r="J577" s="5">
        <v>1916</v>
      </c>
    </row>
    <row r="578" spans="1:10" x14ac:dyDescent="0.35">
      <c r="A578" s="1">
        <v>44796</v>
      </c>
      <c r="B578" s="2">
        <f>YEAR(Sales_Dataset[[#This Row],[Order Date]])</f>
        <v>2022</v>
      </c>
      <c r="C578" s="2">
        <f>MONTH(Sales_Dataset[[#This Row],[Order Date]])</f>
        <v>8</v>
      </c>
      <c r="D578" t="s">
        <v>665</v>
      </c>
      <c r="E578" t="s">
        <v>47</v>
      </c>
      <c r="F578" t="s">
        <v>24</v>
      </c>
      <c r="G578" t="s">
        <v>31</v>
      </c>
      <c r="H578" s="5">
        <v>6265</v>
      </c>
      <c r="I578">
        <v>8</v>
      </c>
      <c r="J578" s="5">
        <v>155</v>
      </c>
    </row>
    <row r="579" spans="1:10" x14ac:dyDescent="0.35">
      <c r="A579" s="1">
        <v>44798</v>
      </c>
      <c r="B579" s="2">
        <f>YEAR(Sales_Dataset[[#This Row],[Order Date]])</f>
        <v>2022</v>
      </c>
      <c r="C579" s="2">
        <f>MONTH(Sales_Dataset[[#This Row],[Order Date]])</f>
        <v>8</v>
      </c>
      <c r="D579" t="s">
        <v>339</v>
      </c>
      <c r="E579" t="s">
        <v>22</v>
      </c>
      <c r="F579" t="s">
        <v>10</v>
      </c>
      <c r="G579" t="s">
        <v>41</v>
      </c>
      <c r="H579" s="5">
        <v>5152</v>
      </c>
      <c r="I579">
        <v>14</v>
      </c>
      <c r="J579" s="5">
        <v>2045</v>
      </c>
    </row>
    <row r="580" spans="1:10" x14ac:dyDescent="0.35">
      <c r="A580" s="1">
        <v>44801</v>
      </c>
      <c r="B580" s="2">
        <f>YEAR(Sales_Dataset[[#This Row],[Order Date]])</f>
        <v>2022</v>
      </c>
      <c r="C580" s="2">
        <f>MONTH(Sales_Dataset[[#This Row],[Order Date]])</f>
        <v>8</v>
      </c>
      <c r="D580" t="s">
        <v>546</v>
      </c>
      <c r="E580" t="s">
        <v>22</v>
      </c>
      <c r="F580" t="s">
        <v>24</v>
      </c>
      <c r="G580" t="s">
        <v>27</v>
      </c>
      <c r="H580" s="5">
        <v>4015</v>
      </c>
      <c r="I580">
        <v>15</v>
      </c>
      <c r="J580" s="5">
        <v>1751</v>
      </c>
    </row>
    <row r="581" spans="1:10" x14ac:dyDescent="0.35">
      <c r="A581" s="1">
        <v>44801</v>
      </c>
      <c r="B581" s="2">
        <f>YEAR(Sales_Dataset[[#This Row],[Order Date]])</f>
        <v>2022</v>
      </c>
      <c r="C581" s="2">
        <f>MONTH(Sales_Dataset[[#This Row],[Order Date]])</f>
        <v>8</v>
      </c>
      <c r="D581" t="s">
        <v>568</v>
      </c>
      <c r="E581" t="s">
        <v>9</v>
      </c>
      <c r="F581" t="s">
        <v>24</v>
      </c>
      <c r="G581" t="s">
        <v>31</v>
      </c>
      <c r="H581" s="5">
        <v>5263</v>
      </c>
      <c r="I581">
        <v>19</v>
      </c>
      <c r="J581" s="5">
        <v>1743</v>
      </c>
    </row>
    <row r="582" spans="1:10" x14ac:dyDescent="0.35">
      <c r="A582" s="1">
        <v>44802</v>
      </c>
      <c r="B582" s="2">
        <f>YEAR(Sales_Dataset[[#This Row],[Order Date]])</f>
        <v>2022</v>
      </c>
      <c r="C582" s="2">
        <f>MONTH(Sales_Dataset[[#This Row],[Order Date]])</f>
        <v>8</v>
      </c>
      <c r="D582" t="s">
        <v>98</v>
      </c>
      <c r="E582" t="s">
        <v>15</v>
      </c>
      <c r="F582" t="s">
        <v>18</v>
      </c>
      <c r="G582" t="s">
        <v>19</v>
      </c>
      <c r="H582" s="5">
        <v>9992</v>
      </c>
      <c r="I582">
        <v>20</v>
      </c>
      <c r="J582" s="5">
        <v>3696</v>
      </c>
    </row>
    <row r="583" spans="1:10" x14ac:dyDescent="0.35">
      <c r="A583" s="1">
        <v>44802</v>
      </c>
      <c r="B583" s="2">
        <f>YEAR(Sales_Dataset[[#This Row],[Order Date]])</f>
        <v>2022</v>
      </c>
      <c r="C583" s="2">
        <f>MONTH(Sales_Dataset[[#This Row],[Order Date]])</f>
        <v>8</v>
      </c>
      <c r="D583" t="s">
        <v>98</v>
      </c>
      <c r="E583" t="s">
        <v>15</v>
      </c>
      <c r="F583" t="s">
        <v>18</v>
      </c>
      <c r="G583" t="s">
        <v>39</v>
      </c>
      <c r="H583" s="5">
        <v>9619</v>
      </c>
      <c r="I583">
        <v>7</v>
      </c>
      <c r="J583" s="5">
        <v>3420</v>
      </c>
    </row>
    <row r="584" spans="1:10" x14ac:dyDescent="0.35">
      <c r="A584" s="1">
        <v>44803</v>
      </c>
      <c r="B584" s="2">
        <f>YEAR(Sales_Dataset[[#This Row],[Order Date]])</f>
        <v>2022</v>
      </c>
      <c r="C584" s="2">
        <f>MONTH(Sales_Dataset[[#This Row],[Order Date]])</f>
        <v>8</v>
      </c>
      <c r="D584" t="s">
        <v>354</v>
      </c>
      <c r="E584" t="s">
        <v>36</v>
      </c>
      <c r="F584" t="s">
        <v>18</v>
      </c>
      <c r="G584" t="s">
        <v>19</v>
      </c>
      <c r="H584" s="5">
        <v>4853</v>
      </c>
      <c r="I584">
        <v>9</v>
      </c>
      <c r="J584" s="5">
        <v>1764</v>
      </c>
    </row>
    <row r="585" spans="1:10" x14ac:dyDescent="0.35">
      <c r="A585" s="1">
        <v>44803</v>
      </c>
      <c r="B585" s="2">
        <f>YEAR(Sales_Dataset[[#This Row],[Order Date]])</f>
        <v>2022</v>
      </c>
      <c r="C585" s="2">
        <f>MONTH(Sales_Dataset[[#This Row],[Order Date]])</f>
        <v>8</v>
      </c>
      <c r="D585" t="s">
        <v>705</v>
      </c>
      <c r="E585" t="s">
        <v>13</v>
      </c>
      <c r="F585" t="s">
        <v>10</v>
      </c>
      <c r="G585" t="s">
        <v>11</v>
      </c>
      <c r="H585" s="5">
        <v>4163</v>
      </c>
      <c r="I585">
        <v>14</v>
      </c>
      <c r="J585" s="5">
        <v>897</v>
      </c>
    </row>
    <row r="586" spans="1:10" x14ac:dyDescent="0.35">
      <c r="A586" s="1">
        <v>44807</v>
      </c>
      <c r="B586" s="2">
        <f>YEAR(Sales_Dataset[[#This Row],[Order Date]])</f>
        <v>2022</v>
      </c>
      <c r="C586" s="2">
        <f>MONTH(Sales_Dataset[[#This Row],[Order Date]])</f>
        <v>9</v>
      </c>
      <c r="D586" t="s">
        <v>541</v>
      </c>
      <c r="E586" t="s">
        <v>47</v>
      </c>
      <c r="F586" t="s">
        <v>10</v>
      </c>
      <c r="G586" t="s">
        <v>41</v>
      </c>
      <c r="H586" s="5">
        <v>1078</v>
      </c>
      <c r="I586">
        <v>3</v>
      </c>
      <c r="J586" s="5">
        <v>309</v>
      </c>
    </row>
    <row r="587" spans="1:10" x14ac:dyDescent="0.35">
      <c r="A587" s="1">
        <v>44816</v>
      </c>
      <c r="B587" s="2">
        <f>YEAR(Sales_Dataset[[#This Row],[Order Date]])</f>
        <v>2022</v>
      </c>
      <c r="C587" s="2">
        <f>MONTH(Sales_Dataset[[#This Row],[Order Date]])</f>
        <v>9</v>
      </c>
      <c r="D587" t="s">
        <v>688</v>
      </c>
      <c r="E587" t="s">
        <v>22</v>
      </c>
      <c r="F587" t="s">
        <v>10</v>
      </c>
      <c r="G587" t="s">
        <v>23</v>
      </c>
      <c r="H587" s="5">
        <v>4057</v>
      </c>
      <c r="I587">
        <v>6</v>
      </c>
      <c r="J587" s="5">
        <v>1012</v>
      </c>
    </row>
    <row r="588" spans="1:10" x14ac:dyDescent="0.35">
      <c r="A588" s="1">
        <v>44820</v>
      </c>
      <c r="B588" s="2">
        <f>YEAR(Sales_Dataset[[#This Row],[Order Date]])</f>
        <v>2022</v>
      </c>
      <c r="C588" s="2">
        <f>MONTH(Sales_Dataset[[#This Row],[Order Date]])</f>
        <v>9</v>
      </c>
      <c r="D588" t="s">
        <v>142</v>
      </c>
      <c r="E588" t="s">
        <v>13</v>
      </c>
      <c r="F588" t="s">
        <v>24</v>
      </c>
      <c r="G588" t="s">
        <v>31</v>
      </c>
      <c r="H588" s="5">
        <v>5047</v>
      </c>
      <c r="I588">
        <v>13</v>
      </c>
      <c r="J588" s="5">
        <v>2211</v>
      </c>
    </row>
    <row r="589" spans="1:10" x14ac:dyDescent="0.35">
      <c r="A589" s="1">
        <v>44820</v>
      </c>
      <c r="B589" s="2">
        <f>YEAR(Sales_Dataset[[#This Row],[Order Date]])</f>
        <v>2022</v>
      </c>
      <c r="C589" s="2">
        <f>MONTH(Sales_Dataset[[#This Row],[Order Date]])</f>
        <v>9</v>
      </c>
      <c r="D589" t="s">
        <v>572</v>
      </c>
      <c r="E589" t="s">
        <v>15</v>
      </c>
      <c r="F589" t="s">
        <v>18</v>
      </c>
      <c r="G589" t="s">
        <v>30</v>
      </c>
      <c r="H589" s="5">
        <v>8537</v>
      </c>
      <c r="I589">
        <v>13</v>
      </c>
      <c r="J589" s="5">
        <v>3586</v>
      </c>
    </row>
    <row r="590" spans="1:10" x14ac:dyDescent="0.35">
      <c r="A590" s="1">
        <v>44823</v>
      </c>
      <c r="B590" s="2">
        <f>YEAR(Sales_Dataset[[#This Row],[Order Date]])</f>
        <v>2022</v>
      </c>
      <c r="C590" s="2">
        <f>MONTH(Sales_Dataset[[#This Row],[Order Date]])</f>
        <v>9</v>
      </c>
      <c r="D590" t="s">
        <v>61</v>
      </c>
      <c r="E590" t="s">
        <v>47</v>
      </c>
      <c r="F590" t="s">
        <v>24</v>
      </c>
      <c r="G590" t="s">
        <v>25</v>
      </c>
      <c r="H590" s="5">
        <v>2463</v>
      </c>
      <c r="I590">
        <v>18</v>
      </c>
      <c r="J590" s="5">
        <v>648</v>
      </c>
    </row>
    <row r="591" spans="1:10" x14ac:dyDescent="0.35">
      <c r="A591" s="1">
        <v>44826</v>
      </c>
      <c r="B591" s="2">
        <f>YEAR(Sales_Dataset[[#This Row],[Order Date]])</f>
        <v>2022</v>
      </c>
      <c r="C591" s="2">
        <f>MONTH(Sales_Dataset[[#This Row],[Order Date]])</f>
        <v>9</v>
      </c>
      <c r="D591" t="s">
        <v>161</v>
      </c>
      <c r="E591" t="s">
        <v>9</v>
      </c>
      <c r="F591" t="s">
        <v>10</v>
      </c>
      <c r="G591" t="s">
        <v>11</v>
      </c>
      <c r="H591" s="5">
        <v>9851</v>
      </c>
      <c r="I591">
        <v>19</v>
      </c>
      <c r="J591" s="5">
        <v>2669</v>
      </c>
    </row>
    <row r="592" spans="1:10" x14ac:dyDescent="0.35">
      <c r="A592" s="1">
        <v>44826</v>
      </c>
      <c r="B592" s="2">
        <f>YEAR(Sales_Dataset[[#This Row],[Order Date]])</f>
        <v>2022</v>
      </c>
      <c r="C592" s="2">
        <f>MONTH(Sales_Dataset[[#This Row],[Order Date]])</f>
        <v>9</v>
      </c>
      <c r="D592" t="s">
        <v>161</v>
      </c>
      <c r="E592" t="s">
        <v>9</v>
      </c>
      <c r="F592" t="s">
        <v>24</v>
      </c>
      <c r="G592" t="s">
        <v>25</v>
      </c>
      <c r="H592" s="5">
        <v>9989</v>
      </c>
      <c r="I592">
        <v>14</v>
      </c>
      <c r="J592" s="5">
        <v>3930</v>
      </c>
    </row>
    <row r="593" spans="1:10" x14ac:dyDescent="0.35">
      <c r="A593" s="1">
        <v>44826</v>
      </c>
      <c r="B593" s="2">
        <f>YEAR(Sales_Dataset[[#This Row],[Order Date]])</f>
        <v>2022</v>
      </c>
      <c r="C593" s="2">
        <f>MONTH(Sales_Dataset[[#This Row],[Order Date]])</f>
        <v>9</v>
      </c>
      <c r="D593" t="s">
        <v>406</v>
      </c>
      <c r="E593" t="s">
        <v>13</v>
      </c>
      <c r="F593" t="s">
        <v>18</v>
      </c>
      <c r="G593" t="s">
        <v>19</v>
      </c>
      <c r="H593" s="5">
        <v>4369</v>
      </c>
      <c r="I593">
        <v>13</v>
      </c>
      <c r="J593" s="5">
        <v>584</v>
      </c>
    </row>
    <row r="594" spans="1:10" x14ac:dyDescent="0.35">
      <c r="A594" s="1">
        <v>44833</v>
      </c>
      <c r="B594" s="2">
        <f>YEAR(Sales_Dataset[[#This Row],[Order Date]])</f>
        <v>2022</v>
      </c>
      <c r="C594" s="2">
        <f>MONTH(Sales_Dataset[[#This Row],[Order Date]])</f>
        <v>9</v>
      </c>
      <c r="D594" t="s">
        <v>634</v>
      </c>
      <c r="E594" t="s">
        <v>15</v>
      </c>
      <c r="F594" t="s">
        <v>18</v>
      </c>
      <c r="G594" t="s">
        <v>33</v>
      </c>
      <c r="H594" s="5">
        <v>3228</v>
      </c>
      <c r="I594">
        <v>9</v>
      </c>
      <c r="J594" s="5">
        <v>476</v>
      </c>
    </row>
    <row r="595" spans="1:10" x14ac:dyDescent="0.35">
      <c r="A595" s="1">
        <v>44838</v>
      </c>
      <c r="B595" s="2">
        <f>YEAR(Sales_Dataset[[#This Row],[Order Date]])</f>
        <v>2022</v>
      </c>
      <c r="C595" s="2">
        <f>MONTH(Sales_Dataset[[#This Row],[Order Date]])</f>
        <v>10</v>
      </c>
      <c r="D595" t="s">
        <v>415</v>
      </c>
      <c r="E595" t="s">
        <v>13</v>
      </c>
      <c r="F595" t="s">
        <v>24</v>
      </c>
      <c r="G595" t="s">
        <v>27</v>
      </c>
      <c r="H595" s="5">
        <v>2321</v>
      </c>
      <c r="I595">
        <v>6</v>
      </c>
      <c r="J595" s="5">
        <v>505</v>
      </c>
    </row>
    <row r="596" spans="1:10" x14ac:dyDescent="0.35">
      <c r="A596" s="1">
        <v>44840</v>
      </c>
      <c r="B596" s="2">
        <f>YEAR(Sales_Dataset[[#This Row],[Order Date]])</f>
        <v>2022</v>
      </c>
      <c r="C596" s="2">
        <f>MONTH(Sales_Dataset[[#This Row],[Order Date]])</f>
        <v>10</v>
      </c>
      <c r="D596" t="s">
        <v>326</v>
      </c>
      <c r="E596" t="s">
        <v>9</v>
      </c>
      <c r="F596" t="s">
        <v>10</v>
      </c>
      <c r="G596" t="s">
        <v>41</v>
      </c>
      <c r="H596" s="5">
        <v>5449</v>
      </c>
      <c r="I596">
        <v>2</v>
      </c>
      <c r="J596" s="5">
        <v>2389</v>
      </c>
    </row>
    <row r="597" spans="1:10" x14ac:dyDescent="0.35">
      <c r="A597" s="1">
        <v>44841</v>
      </c>
      <c r="B597" s="2">
        <f>YEAR(Sales_Dataset[[#This Row],[Order Date]])</f>
        <v>2022</v>
      </c>
      <c r="C597" s="2">
        <f>MONTH(Sales_Dataset[[#This Row],[Order Date]])</f>
        <v>10</v>
      </c>
      <c r="D597" t="s">
        <v>52</v>
      </c>
      <c r="E597" t="s">
        <v>9</v>
      </c>
      <c r="F597" t="s">
        <v>24</v>
      </c>
      <c r="G597" t="s">
        <v>31</v>
      </c>
      <c r="H597" s="5">
        <v>3958</v>
      </c>
      <c r="I597">
        <v>15</v>
      </c>
      <c r="J597" s="5">
        <v>630</v>
      </c>
    </row>
    <row r="598" spans="1:10" x14ac:dyDescent="0.35">
      <c r="A598" s="1">
        <v>44841</v>
      </c>
      <c r="B598" s="2">
        <f>YEAR(Sales_Dataset[[#This Row],[Order Date]])</f>
        <v>2022</v>
      </c>
      <c r="C598" s="2">
        <f>MONTH(Sales_Dataset[[#This Row],[Order Date]])</f>
        <v>10</v>
      </c>
      <c r="D598" t="s">
        <v>52</v>
      </c>
      <c r="E598" t="s">
        <v>9</v>
      </c>
      <c r="F598" t="s">
        <v>24</v>
      </c>
      <c r="G598" t="s">
        <v>25</v>
      </c>
      <c r="H598" s="5">
        <v>3132</v>
      </c>
      <c r="I598">
        <v>1</v>
      </c>
      <c r="J598" s="5">
        <v>963</v>
      </c>
    </row>
    <row r="599" spans="1:10" x14ac:dyDescent="0.35">
      <c r="A599" s="1">
        <v>44841</v>
      </c>
      <c r="B599" s="2">
        <f>YEAR(Sales_Dataset[[#This Row],[Order Date]])</f>
        <v>2022</v>
      </c>
      <c r="C599" s="2">
        <f>MONTH(Sales_Dataset[[#This Row],[Order Date]])</f>
        <v>10</v>
      </c>
      <c r="D599" t="s">
        <v>355</v>
      </c>
      <c r="E599" t="s">
        <v>22</v>
      </c>
      <c r="F599" t="s">
        <v>18</v>
      </c>
      <c r="G599" t="s">
        <v>19</v>
      </c>
      <c r="H599" s="5">
        <v>9832</v>
      </c>
      <c r="I599">
        <v>1</v>
      </c>
      <c r="J599" s="5">
        <v>1270</v>
      </c>
    </row>
    <row r="600" spans="1:10" x14ac:dyDescent="0.35">
      <c r="A600" s="1">
        <v>44841</v>
      </c>
      <c r="B600" s="2">
        <f>YEAR(Sales_Dataset[[#This Row],[Order Date]])</f>
        <v>2022</v>
      </c>
      <c r="C600" s="2">
        <f>MONTH(Sales_Dataset[[#This Row],[Order Date]])</f>
        <v>10</v>
      </c>
      <c r="D600" t="s">
        <v>355</v>
      </c>
      <c r="E600" t="s">
        <v>22</v>
      </c>
      <c r="F600" t="s">
        <v>18</v>
      </c>
      <c r="G600" t="s">
        <v>19</v>
      </c>
      <c r="H600" s="5">
        <v>796</v>
      </c>
      <c r="I600">
        <v>15</v>
      </c>
      <c r="J600" s="5">
        <v>153</v>
      </c>
    </row>
    <row r="601" spans="1:10" x14ac:dyDescent="0.35">
      <c r="A601" s="1">
        <v>44841</v>
      </c>
      <c r="B601" s="2">
        <f>YEAR(Sales_Dataset[[#This Row],[Order Date]])</f>
        <v>2022</v>
      </c>
      <c r="C601" s="2">
        <f>MONTH(Sales_Dataset[[#This Row],[Order Date]])</f>
        <v>10</v>
      </c>
      <c r="D601" t="s">
        <v>806</v>
      </c>
      <c r="E601" t="s">
        <v>22</v>
      </c>
      <c r="F601" t="s">
        <v>18</v>
      </c>
      <c r="G601" t="s">
        <v>30</v>
      </c>
      <c r="H601" s="5">
        <v>8044</v>
      </c>
      <c r="I601">
        <v>3</v>
      </c>
      <c r="J601" s="5">
        <v>3634</v>
      </c>
    </row>
    <row r="602" spans="1:10" x14ac:dyDescent="0.35">
      <c r="A602" s="1">
        <v>44842</v>
      </c>
      <c r="B602" s="2">
        <f>YEAR(Sales_Dataset[[#This Row],[Order Date]])</f>
        <v>2022</v>
      </c>
      <c r="C602" s="2">
        <f>MONTH(Sales_Dataset[[#This Row],[Order Date]])</f>
        <v>10</v>
      </c>
      <c r="D602" t="s">
        <v>224</v>
      </c>
      <c r="E602" t="s">
        <v>36</v>
      </c>
      <c r="F602" t="s">
        <v>10</v>
      </c>
      <c r="G602" t="s">
        <v>23</v>
      </c>
      <c r="H602" s="5">
        <v>2791</v>
      </c>
      <c r="I602">
        <v>14</v>
      </c>
      <c r="J602" s="5">
        <v>894</v>
      </c>
    </row>
    <row r="603" spans="1:10" x14ac:dyDescent="0.35">
      <c r="A603" s="1">
        <v>44842</v>
      </c>
      <c r="B603" s="2">
        <f>YEAR(Sales_Dataset[[#This Row],[Order Date]])</f>
        <v>2022</v>
      </c>
      <c r="C603" s="2">
        <f>MONTH(Sales_Dataset[[#This Row],[Order Date]])</f>
        <v>10</v>
      </c>
      <c r="D603" t="s">
        <v>224</v>
      </c>
      <c r="E603" t="s">
        <v>36</v>
      </c>
      <c r="F603" t="s">
        <v>24</v>
      </c>
      <c r="G603" t="s">
        <v>31</v>
      </c>
      <c r="H603" s="5">
        <v>6223</v>
      </c>
      <c r="I603">
        <v>3</v>
      </c>
      <c r="J603" s="5">
        <v>1478</v>
      </c>
    </row>
    <row r="604" spans="1:10" x14ac:dyDescent="0.35">
      <c r="A604" s="1">
        <v>44842</v>
      </c>
      <c r="B604" s="2">
        <f>YEAR(Sales_Dataset[[#This Row],[Order Date]])</f>
        <v>2022</v>
      </c>
      <c r="C604" s="2">
        <f>MONTH(Sales_Dataset[[#This Row],[Order Date]])</f>
        <v>10</v>
      </c>
      <c r="D604" t="s">
        <v>224</v>
      </c>
      <c r="E604" t="s">
        <v>36</v>
      </c>
      <c r="F604" t="s">
        <v>24</v>
      </c>
      <c r="G604" t="s">
        <v>27</v>
      </c>
      <c r="H604" s="5">
        <v>8943</v>
      </c>
      <c r="I604">
        <v>17</v>
      </c>
      <c r="J604" s="5">
        <v>3121</v>
      </c>
    </row>
    <row r="605" spans="1:10" x14ac:dyDescent="0.35">
      <c r="A605" s="1">
        <v>44842</v>
      </c>
      <c r="B605" s="2">
        <f>YEAR(Sales_Dataset[[#This Row],[Order Date]])</f>
        <v>2022</v>
      </c>
      <c r="C605" s="2">
        <f>MONTH(Sales_Dataset[[#This Row],[Order Date]])</f>
        <v>10</v>
      </c>
      <c r="D605" t="s">
        <v>224</v>
      </c>
      <c r="E605" t="s">
        <v>36</v>
      </c>
      <c r="F605" t="s">
        <v>10</v>
      </c>
      <c r="G605" t="s">
        <v>41</v>
      </c>
      <c r="H605" s="5">
        <v>3297</v>
      </c>
      <c r="I605">
        <v>12</v>
      </c>
      <c r="J605" s="5">
        <v>102</v>
      </c>
    </row>
    <row r="606" spans="1:10" x14ac:dyDescent="0.35">
      <c r="A606" s="1">
        <v>44846</v>
      </c>
      <c r="B606" s="2">
        <f>YEAR(Sales_Dataset[[#This Row],[Order Date]])</f>
        <v>2022</v>
      </c>
      <c r="C606" s="2">
        <f>MONTH(Sales_Dataset[[#This Row],[Order Date]])</f>
        <v>10</v>
      </c>
      <c r="D606" t="s">
        <v>411</v>
      </c>
      <c r="E606" t="s">
        <v>22</v>
      </c>
      <c r="F606" t="s">
        <v>18</v>
      </c>
      <c r="G606" t="s">
        <v>33</v>
      </c>
      <c r="H606" s="5">
        <v>7519</v>
      </c>
      <c r="I606">
        <v>14</v>
      </c>
      <c r="J606" s="5">
        <v>402</v>
      </c>
    </row>
    <row r="607" spans="1:10" x14ac:dyDescent="0.35">
      <c r="A607" s="1">
        <v>44846</v>
      </c>
      <c r="B607" s="2">
        <f>YEAR(Sales_Dataset[[#This Row],[Order Date]])</f>
        <v>2022</v>
      </c>
      <c r="C607" s="2">
        <f>MONTH(Sales_Dataset[[#This Row],[Order Date]])</f>
        <v>10</v>
      </c>
      <c r="D607" t="s">
        <v>411</v>
      </c>
      <c r="E607" t="s">
        <v>22</v>
      </c>
      <c r="F607" t="s">
        <v>10</v>
      </c>
      <c r="G607" t="s">
        <v>11</v>
      </c>
      <c r="H607" s="5">
        <v>1564</v>
      </c>
      <c r="I607">
        <v>13</v>
      </c>
      <c r="J607" s="5">
        <v>674</v>
      </c>
    </row>
    <row r="608" spans="1:10" x14ac:dyDescent="0.35">
      <c r="A608" s="1">
        <v>44846</v>
      </c>
      <c r="B608" s="2">
        <f>YEAR(Sales_Dataset[[#This Row],[Order Date]])</f>
        <v>2022</v>
      </c>
      <c r="C608" s="2">
        <f>MONTH(Sales_Dataset[[#This Row],[Order Date]])</f>
        <v>10</v>
      </c>
      <c r="D608" t="s">
        <v>230</v>
      </c>
      <c r="E608" t="s">
        <v>15</v>
      </c>
      <c r="F608" t="s">
        <v>18</v>
      </c>
      <c r="G608" t="s">
        <v>19</v>
      </c>
      <c r="H608" s="5">
        <v>3573</v>
      </c>
      <c r="I608">
        <v>7</v>
      </c>
      <c r="J608" s="5">
        <v>562</v>
      </c>
    </row>
    <row r="609" spans="1:10" x14ac:dyDescent="0.35">
      <c r="A609" s="1">
        <v>44846</v>
      </c>
      <c r="B609" s="2">
        <f>YEAR(Sales_Dataset[[#This Row],[Order Date]])</f>
        <v>2022</v>
      </c>
      <c r="C609" s="2">
        <f>MONTH(Sales_Dataset[[#This Row],[Order Date]])</f>
        <v>10</v>
      </c>
      <c r="D609" t="s">
        <v>230</v>
      </c>
      <c r="E609" t="s">
        <v>15</v>
      </c>
      <c r="F609" t="s">
        <v>10</v>
      </c>
      <c r="G609" t="s">
        <v>41</v>
      </c>
      <c r="H609" s="5">
        <v>8055</v>
      </c>
      <c r="I609">
        <v>10</v>
      </c>
      <c r="J609" s="5">
        <v>661</v>
      </c>
    </row>
    <row r="610" spans="1:10" x14ac:dyDescent="0.35">
      <c r="A610" s="1">
        <v>44853</v>
      </c>
      <c r="B610" s="2">
        <f>YEAR(Sales_Dataset[[#This Row],[Order Date]])</f>
        <v>2022</v>
      </c>
      <c r="C610" s="2">
        <f>MONTH(Sales_Dataset[[#This Row],[Order Date]])</f>
        <v>10</v>
      </c>
      <c r="D610" t="s">
        <v>315</v>
      </c>
      <c r="E610" t="s">
        <v>9</v>
      </c>
      <c r="F610" t="s">
        <v>10</v>
      </c>
      <c r="G610" t="s">
        <v>16</v>
      </c>
      <c r="H610" s="5">
        <v>6385</v>
      </c>
      <c r="I610">
        <v>11</v>
      </c>
      <c r="J610" s="5">
        <v>2656</v>
      </c>
    </row>
    <row r="611" spans="1:10" x14ac:dyDescent="0.35">
      <c r="A611" s="1">
        <v>44854</v>
      </c>
      <c r="B611" s="2">
        <f>YEAR(Sales_Dataset[[#This Row],[Order Date]])</f>
        <v>2022</v>
      </c>
      <c r="C611" s="2">
        <f>MONTH(Sales_Dataset[[#This Row],[Order Date]])</f>
        <v>10</v>
      </c>
      <c r="D611" t="s">
        <v>148</v>
      </c>
      <c r="E611" t="s">
        <v>13</v>
      </c>
      <c r="F611" t="s">
        <v>18</v>
      </c>
      <c r="G611" t="s">
        <v>33</v>
      </c>
      <c r="H611" s="5">
        <v>7472</v>
      </c>
      <c r="I611">
        <v>3</v>
      </c>
      <c r="J611" s="5">
        <v>1037</v>
      </c>
    </row>
    <row r="612" spans="1:10" x14ac:dyDescent="0.35">
      <c r="A612" s="1">
        <v>44854</v>
      </c>
      <c r="B612" s="2">
        <f>YEAR(Sales_Dataset[[#This Row],[Order Date]])</f>
        <v>2022</v>
      </c>
      <c r="C612" s="2">
        <f>MONTH(Sales_Dataset[[#This Row],[Order Date]])</f>
        <v>10</v>
      </c>
      <c r="D612" t="s">
        <v>148</v>
      </c>
      <c r="E612" t="s">
        <v>13</v>
      </c>
      <c r="F612" t="s">
        <v>10</v>
      </c>
      <c r="G612" t="s">
        <v>16</v>
      </c>
      <c r="H612" s="5">
        <v>9548</v>
      </c>
      <c r="I612">
        <v>9</v>
      </c>
      <c r="J612" s="5">
        <v>1806</v>
      </c>
    </row>
    <row r="613" spans="1:10" x14ac:dyDescent="0.35">
      <c r="A613" s="1">
        <v>44854</v>
      </c>
      <c r="B613" s="2">
        <f>YEAR(Sales_Dataset[[#This Row],[Order Date]])</f>
        <v>2022</v>
      </c>
      <c r="C613" s="2">
        <f>MONTH(Sales_Dataset[[#This Row],[Order Date]])</f>
        <v>10</v>
      </c>
      <c r="D613" t="s">
        <v>294</v>
      </c>
      <c r="E613" t="s">
        <v>47</v>
      </c>
      <c r="F613" t="s">
        <v>18</v>
      </c>
      <c r="G613" t="s">
        <v>30</v>
      </c>
      <c r="H613" s="5">
        <v>9386</v>
      </c>
      <c r="I613">
        <v>20</v>
      </c>
      <c r="J613" s="5">
        <v>2555</v>
      </c>
    </row>
    <row r="614" spans="1:10" x14ac:dyDescent="0.35">
      <c r="A614" s="1">
        <v>44855</v>
      </c>
      <c r="B614" s="2">
        <f>YEAR(Sales_Dataset[[#This Row],[Order Date]])</f>
        <v>2022</v>
      </c>
      <c r="C614" s="2">
        <f>MONTH(Sales_Dataset[[#This Row],[Order Date]])</f>
        <v>10</v>
      </c>
      <c r="D614" t="s">
        <v>349</v>
      </c>
      <c r="E614" t="s">
        <v>13</v>
      </c>
      <c r="F614" t="s">
        <v>18</v>
      </c>
      <c r="G614" t="s">
        <v>19</v>
      </c>
      <c r="H614" s="5">
        <v>916</v>
      </c>
      <c r="I614">
        <v>7</v>
      </c>
      <c r="J614" s="5">
        <v>362</v>
      </c>
    </row>
    <row r="615" spans="1:10" x14ac:dyDescent="0.35">
      <c r="A615" s="1">
        <v>44855</v>
      </c>
      <c r="B615" s="2">
        <f>YEAR(Sales_Dataset[[#This Row],[Order Date]])</f>
        <v>2022</v>
      </c>
      <c r="C615" s="2">
        <f>MONTH(Sales_Dataset[[#This Row],[Order Date]])</f>
        <v>10</v>
      </c>
      <c r="D615" t="s">
        <v>349</v>
      </c>
      <c r="E615" t="s">
        <v>13</v>
      </c>
      <c r="F615" t="s">
        <v>24</v>
      </c>
      <c r="G615" t="s">
        <v>31</v>
      </c>
      <c r="H615" s="5">
        <v>1165</v>
      </c>
      <c r="I615">
        <v>20</v>
      </c>
      <c r="J615" s="5">
        <v>302</v>
      </c>
    </row>
    <row r="616" spans="1:10" x14ac:dyDescent="0.35">
      <c r="A616" s="1">
        <v>44855</v>
      </c>
      <c r="B616" s="2">
        <f>YEAR(Sales_Dataset[[#This Row],[Order Date]])</f>
        <v>2022</v>
      </c>
      <c r="C616" s="2">
        <f>MONTH(Sales_Dataset[[#This Row],[Order Date]])</f>
        <v>10</v>
      </c>
      <c r="D616" t="s">
        <v>349</v>
      </c>
      <c r="E616" t="s">
        <v>13</v>
      </c>
      <c r="F616" t="s">
        <v>24</v>
      </c>
      <c r="G616" t="s">
        <v>27</v>
      </c>
      <c r="H616" s="5">
        <v>7846</v>
      </c>
      <c r="I616">
        <v>12</v>
      </c>
      <c r="J616" s="5">
        <v>677</v>
      </c>
    </row>
    <row r="617" spans="1:10" x14ac:dyDescent="0.35">
      <c r="A617" s="1">
        <v>44856</v>
      </c>
      <c r="B617" s="2">
        <f>YEAR(Sales_Dataset[[#This Row],[Order Date]])</f>
        <v>2022</v>
      </c>
      <c r="C617" s="2">
        <f>MONTH(Sales_Dataset[[#This Row],[Order Date]])</f>
        <v>10</v>
      </c>
      <c r="D617" t="s">
        <v>476</v>
      </c>
      <c r="E617" t="s">
        <v>36</v>
      </c>
      <c r="F617" t="s">
        <v>10</v>
      </c>
      <c r="G617" t="s">
        <v>16</v>
      </c>
      <c r="H617" s="5">
        <v>5151</v>
      </c>
      <c r="I617">
        <v>5</v>
      </c>
      <c r="J617" s="5">
        <v>1680</v>
      </c>
    </row>
    <row r="618" spans="1:10" x14ac:dyDescent="0.35">
      <c r="A618" s="1">
        <v>44856</v>
      </c>
      <c r="B618" s="2">
        <f>YEAR(Sales_Dataset[[#This Row],[Order Date]])</f>
        <v>2022</v>
      </c>
      <c r="C618" s="2">
        <f>MONTH(Sales_Dataset[[#This Row],[Order Date]])</f>
        <v>10</v>
      </c>
      <c r="D618" t="s">
        <v>719</v>
      </c>
      <c r="E618" t="s">
        <v>36</v>
      </c>
      <c r="F618" t="s">
        <v>10</v>
      </c>
      <c r="G618" t="s">
        <v>23</v>
      </c>
      <c r="H618" s="5">
        <v>5954</v>
      </c>
      <c r="I618">
        <v>14</v>
      </c>
      <c r="J618" s="5">
        <v>2640</v>
      </c>
    </row>
    <row r="619" spans="1:10" x14ac:dyDescent="0.35">
      <c r="A619" s="1">
        <v>44864</v>
      </c>
      <c r="B619" s="2">
        <f>YEAR(Sales_Dataset[[#This Row],[Order Date]])</f>
        <v>2022</v>
      </c>
      <c r="C619" s="2">
        <f>MONTH(Sales_Dataset[[#This Row],[Order Date]])</f>
        <v>10</v>
      </c>
      <c r="D619" t="s">
        <v>45</v>
      </c>
      <c r="E619" t="s">
        <v>22</v>
      </c>
      <c r="F619" t="s">
        <v>18</v>
      </c>
      <c r="G619" t="s">
        <v>19</v>
      </c>
      <c r="H619" s="5">
        <v>3686</v>
      </c>
      <c r="I619">
        <v>20</v>
      </c>
      <c r="J619" s="5">
        <v>760</v>
      </c>
    </row>
    <row r="620" spans="1:10" x14ac:dyDescent="0.35">
      <c r="A620" s="1">
        <v>44864</v>
      </c>
      <c r="B620" s="2">
        <f>YEAR(Sales_Dataset[[#This Row],[Order Date]])</f>
        <v>2022</v>
      </c>
      <c r="C620" s="2">
        <f>MONTH(Sales_Dataset[[#This Row],[Order Date]])</f>
        <v>10</v>
      </c>
      <c r="D620" t="s">
        <v>650</v>
      </c>
      <c r="E620" t="s">
        <v>9</v>
      </c>
      <c r="F620" t="s">
        <v>18</v>
      </c>
      <c r="G620" t="s">
        <v>39</v>
      </c>
      <c r="H620" s="5">
        <v>8548</v>
      </c>
      <c r="I620">
        <v>1</v>
      </c>
      <c r="J620" s="5">
        <v>2305</v>
      </c>
    </row>
    <row r="621" spans="1:10" x14ac:dyDescent="0.35">
      <c r="A621" s="1">
        <v>44865</v>
      </c>
      <c r="B621" s="2">
        <f>YEAR(Sales_Dataset[[#This Row],[Order Date]])</f>
        <v>2022</v>
      </c>
      <c r="C621" s="2">
        <f>MONTH(Sales_Dataset[[#This Row],[Order Date]])</f>
        <v>10</v>
      </c>
      <c r="D621" t="s">
        <v>332</v>
      </c>
      <c r="E621" t="s">
        <v>15</v>
      </c>
      <c r="F621" t="s">
        <v>18</v>
      </c>
      <c r="G621" t="s">
        <v>30</v>
      </c>
      <c r="H621" s="5">
        <v>4202</v>
      </c>
      <c r="I621">
        <v>3</v>
      </c>
      <c r="J621" s="5">
        <v>1171</v>
      </c>
    </row>
    <row r="622" spans="1:10" x14ac:dyDescent="0.35">
      <c r="A622" s="1">
        <v>44865</v>
      </c>
      <c r="B622" s="2">
        <f>YEAR(Sales_Dataset[[#This Row],[Order Date]])</f>
        <v>2022</v>
      </c>
      <c r="C622" s="2">
        <f>MONTH(Sales_Dataset[[#This Row],[Order Date]])</f>
        <v>10</v>
      </c>
      <c r="D622" t="s">
        <v>721</v>
      </c>
      <c r="E622" t="s">
        <v>13</v>
      </c>
      <c r="F622" t="s">
        <v>24</v>
      </c>
      <c r="G622" t="s">
        <v>51</v>
      </c>
      <c r="H622" s="5">
        <v>9752</v>
      </c>
      <c r="I622">
        <v>5</v>
      </c>
      <c r="J622" s="5">
        <v>3618</v>
      </c>
    </row>
    <row r="623" spans="1:10" x14ac:dyDescent="0.35">
      <c r="A623" s="1">
        <v>44868</v>
      </c>
      <c r="B623" s="2">
        <f>YEAR(Sales_Dataset[[#This Row],[Order Date]])</f>
        <v>2022</v>
      </c>
      <c r="C623" s="2">
        <f>MONTH(Sales_Dataset[[#This Row],[Order Date]])</f>
        <v>11</v>
      </c>
      <c r="D623" t="s">
        <v>462</v>
      </c>
      <c r="E623" t="s">
        <v>36</v>
      </c>
      <c r="F623" t="s">
        <v>10</v>
      </c>
      <c r="G623" t="s">
        <v>16</v>
      </c>
      <c r="H623" s="5">
        <v>5462</v>
      </c>
      <c r="I623">
        <v>12</v>
      </c>
      <c r="J623" s="5">
        <v>673</v>
      </c>
    </row>
    <row r="624" spans="1:10" x14ac:dyDescent="0.35">
      <c r="A624" s="1">
        <v>44872</v>
      </c>
      <c r="B624" s="2">
        <f>YEAR(Sales_Dataset[[#This Row],[Order Date]])</f>
        <v>2022</v>
      </c>
      <c r="C624" s="2">
        <f>MONTH(Sales_Dataset[[#This Row],[Order Date]])</f>
        <v>11</v>
      </c>
      <c r="D624" t="s">
        <v>612</v>
      </c>
      <c r="E624" t="s">
        <v>9</v>
      </c>
      <c r="F624" t="s">
        <v>10</v>
      </c>
      <c r="G624" t="s">
        <v>41</v>
      </c>
      <c r="H624" s="5">
        <v>2727</v>
      </c>
      <c r="I624">
        <v>8</v>
      </c>
      <c r="J624" s="5">
        <v>663</v>
      </c>
    </row>
    <row r="625" spans="1:10" x14ac:dyDescent="0.35">
      <c r="A625" s="1">
        <v>44877</v>
      </c>
      <c r="B625" s="2">
        <f>YEAR(Sales_Dataset[[#This Row],[Order Date]])</f>
        <v>2022</v>
      </c>
      <c r="C625" s="2">
        <f>MONTH(Sales_Dataset[[#This Row],[Order Date]])</f>
        <v>11</v>
      </c>
      <c r="D625" t="s">
        <v>511</v>
      </c>
      <c r="E625" t="s">
        <v>13</v>
      </c>
      <c r="F625" t="s">
        <v>18</v>
      </c>
      <c r="G625" t="s">
        <v>19</v>
      </c>
      <c r="H625" s="5">
        <v>5165</v>
      </c>
      <c r="I625">
        <v>16</v>
      </c>
      <c r="J625" s="5">
        <v>885</v>
      </c>
    </row>
    <row r="626" spans="1:10" x14ac:dyDescent="0.35">
      <c r="A626" s="1">
        <v>44877</v>
      </c>
      <c r="B626" s="2">
        <f>YEAR(Sales_Dataset[[#This Row],[Order Date]])</f>
        <v>2022</v>
      </c>
      <c r="C626" s="2">
        <f>MONTH(Sales_Dataset[[#This Row],[Order Date]])</f>
        <v>11</v>
      </c>
      <c r="D626" t="s">
        <v>511</v>
      </c>
      <c r="E626" t="s">
        <v>13</v>
      </c>
      <c r="F626" t="s">
        <v>24</v>
      </c>
      <c r="G626" t="s">
        <v>51</v>
      </c>
      <c r="H626" s="5">
        <v>4863</v>
      </c>
      <c r="I626">
        <v>4</v>
      </c>
      <c r="J626" s="5">
        <v>2394</v>
      </c>
    </row>
    <row r="627" spans="1:10" x14ac:dyDescent="0.35">
      <c r="A627" s="1">
        <v>44878</v>
      </c>
      <c r="B627" s="2">
        <f>YEAR(Sales_Dataset[[#This Row],[Order Date]])</f>
        <v>2022</v>
      </c>
      <c r="C627" s="2">
        <f>MONTH(Sales_Dataset[[#This Row],[Order Date]])</f>
        <v>11</v>
      </c>
      <c r="D627" t="s">
        <v>508</v>
      </c>
      <c r="E627" t="s">
        <v>36</v>
      </c>
      <c r="F627" t="s">
        <v>10</v>
      </c>
      <c r="G627" t="s">
        <v>11</v>
      </c>
      <c r="H627" s="5">
        <v>3776</v>
      </c>
      <c r="I627">
        <v>9</v>
      </c>
      <c r="J627" s="5">
        <v>1100</v>
      </c>
    </row>
    <row r="628" spans="1:10" x14ac:dyDescent="0.35">
      <c r="A628" s="1">
        <v>44881</v>
      </c>
      <c r="B628" s="2">
        <f>YEAR(Sales_Dataset[[#This Row],[Order Date]])</f>
        <v>2022</v>
      </c>
      <c r="C628" s="2">
        <f>MONTH(Sales_Dataset[[#This Row],[Order Date]])</f>
        <v>11</v>
      </c>
      <c r="D628" t="s">
        <v>527</v>
      </c>
      <c r="E628" t="s">
        <v>22</v>
      </c>
      <c r="F628" t="s">
        <v>18</v>
      </c>
      <c r="G628" t="s">
        <v>19</v>
      </c>
      <c r="H628" s="5">
        <v>5831</v>
      </c>
      <c r="I628">
        <v>17</v>
      </c>
      <c r="J628" s="5">
        <v>1574</v>
      </c>
    </row>
    <row r="629" spans="1:10" x14ac:dyDescent="0.35">
      <c r="A629" s="1">
        <v>44883</v>
      </c>
      <c r="B629" s="2">
        <f>YEAR(Sales_Dataset[[#This Row],[Order Date]])</f>
        <v>2022</v>
      </c>
      <c r="C629" s="2">
        <f>MONTH(Sales_Dataset[[#This Row],[Order Date]])</f>
        <v>11</v>
      </c>
      <c r="D629" t="s">
        <v>21</v>
      </c>
      <c r="E629" t="s">
        <v>22</v>
      </c>
      <c r="F629" t="s">
        <v>10</v>
      </c>
      <c r="G629" t="s">
        <v>23</v>
      </c>
      <c r="H629" s="5">
        <v>883</v>
      </c>
      <c r="I629">
        <v>10</v>
      </c>
      <c r="J629" s="5">
        <v>117</v>
      </c>
    </row>
    <row r="630" spans="1:10" x14ac:dyDescent="0.35">
      <c r="A630" s="1">
        <v>44883</v>
      </c>
      <c r="B630" s="2">
        <f>YEAR(Sales_Dataset[[#This Row],[Order Date]])</f>
        <v>2022</v>
      </c>
      <c r="C630" s="2">
        <f>MONTH(Sales_Dataset[[#This Row],[Order Date]])</f>
        <v>11</v>
      </c>
      <c r="D630" t="s">
        <v>21</v>
      </c>
      <c r="E630" t="s">
        <v>22</v>
      </c>
      <c r="F630" t="s">
        <v>24</v>
      </c>
      <c r="G630" t="s">
        <v>25</v>
      </c>
      <c r="H630" s="5">
        <v>8127</v>
      </c>
      <c r="I630">
        <v>16</v>
      </c>
      <c r="J630" s="5">
        <v>3551</v>
      </c>
    </row>
    <row r="631" spans="1:10" x14ac:dyDescent="0.35">
      <c r="A631" s="1">
        <v>44885</v>
      </c>
      <c r="B631" s="2">
        <f>YEAR(Sales_Dataset[[#This Row],[Order Date]])</f>
        <v>2022</v>
      </c>
      <c r="C631" s="2">
        <f>MONTH(Sales_Dataset[[#This Row],[Order Date]])</f>
        <v>11</v>
      </c>
      <c r="D631" t="s">
        <v>78</v>
      </c>
      <c r="E631" t="s">
        <v>13</v>
      </c>
      <c r="F631" t="s">
        <v>24</v>
      </c>
      <c r="G631" t="s">
        <v>27</v>
      </c>
      <c r="H631" s="5">
        <v>1757</v>
      </c>
      <c r="I631">
        <v>10</v>
      </c>
      <c r="J631" s="5">
        <v>622</v>
      </c>
    </row>
    <row r="632" spans="1:10" x14ac:dyDescent="0.35">
      <c r="A632" s="1">
        <v>44888</v>
      </c>
      <c r="B632" s="2">
        <f>YEAR(Sales_Dataset[[#This Row],[Order Date]])</f>
        <v>2022</v>
      </c>
      <c r="C632" s="2">
        <f>MONTH(Sales_Dataset[[#This Row],[Order Date]])</f>
        <v>11</v>
      </c>
      <c r="D632" t="s">
        <v>331</v>
      </c>
      <c r="E632" t="s">
        <v>13</v>
      </c>
      <c r="F632" t="s">
        <v>18</v>
      </c>
      <c r="G632" t="s">
        <v>30</v>
      </c>
      <c r="H632" s="5">
        <v>4202</v>
      </c>
      <c r="I632">
        <v>3</v>
      </c>
      <c r="J632" s="5">
        <v>1171</v>
      </c>
    </row>
    <row r="633" spans="1:10" x14ac:dyDescent="0.35">
      <c r="A633" s="1">
        <v>44898</v>
      </c>
      <c r="B633" s="2">
        <f>YEAR(Sales_Dataset[[#This Row],[Order Date]])</f>
        <v>2022</v>
      </c>
      <c r="C633" s="2">
        <f>MONTH(Sales_Dataset[[#This Row],[Order Date]])</f>
        <v>12</v>
      </c>
      <c r="D633" t="s">
        <v>818</v>
      </c>
      <c r="E633" t="s">
        <v>13</v>
      </c>
      <c r="F633" t="s">
        <v>18</v>
      </c>
      <c r="G633" t="s">
        <v>33</v>
      </c>
      <c r="H633" s="5">
        <v>5024</v>
      </c>
      <c r="I633">
        <v>2</v>
      </c>
      <c r="J633" s="5">
        <v>379</v>
      </c>
    </row>
    <row r="634" spans="1:10" x14ac:dyDescent="0.35">
      <c r="A634" s="1">
        <v>44900</v>
      </c>
      <c r="B634" s="2">
        <f>YEAR(Sales_Dataset[[#This Row],[Order Date]])</f>
        <v>2022</v>
      </c>
      <c r="C634" s="2">
        <f>MONTH(Sales_Dataset[[#This Row],[Order Date]])</f>
        <v>12</v>
      </c>
      <c r="D634" t="s">
        <v>90</v>
      </c>
      <c r="E634" t="s">
        <v>36</v>
      </c>
      <c r="F634" t="s">
        <v>10</v>
      </c>
      <c r="G634" t="s">
        <v>41</v>
      </c>
      <c r="H634" s="5">
        <v>4358</v>
      </c>
      <c r="I634">
        <v>19</v>
      </c>
      <c r="J634" s="5">
        <v>526</v>
      </c>
    </row>
    <row r="635" spans="1:10" x14ac:dyDescent="0.35">
      <c r="A635" s="1">
        <v>44900</v>
      </c>
      <c r="B635" s="2">
        <f>YEAR(Sales_Dataset[[#This Row],[Order Date]])</f>
        <v>2022</v>
      </c>
      <c r="C635" s="2">
        <f>MONTH(Sales_Dataset[[#This Row],[Order Date]])</f>
        <v>12</v>
      </c>
      <c r="D635" t="s">
        <v>90</v>
      </c>
      <c r="E635" t="s">
        <v>36</v>
      </c>
      <c r="F635" t="s">
        <v>10</v>
      </c>
      <c r="G635" t="s">
        <v>41</v>
      </c>
      <c r="H635" s="5">
        <v>6459</v>
      </c>
      <c r="I635">
        <v>8</v>
      </c>
      <c r="J635" s="5">
        <v>825</v>
      </c>
    </row>
    <row r="636" spans="1:10" x14ac:dyDescent="0.35">
      <c r="A636" s="1">
        <v>44900</v>
      </c>
      <c r="B636" s="2">
        <f>YEAR(Sales_Dataset[[#This Row],[Order Date]])</f>
        <v>2022</v>
      </c>
      <c r="C636" s="2">
        <f>MONTH(Sales_Dataset[[#This Row],[Order Date]])</f>
        <v>12</v>
      </c>
      <c r="D636" t="s">
        <v>320</v>
      </c>
      <c r="E636" t="s">
        <v>9</v>
      </c>
      <c r="F636" t="s">
        <v>10</v>
      </c>
      <c r="G636" t="s">
        <v>11</v>
      </c>
      <c r="H636" s="5">
        <v>2565</v>
      </c>
      <c r="I636">
        <v>20</v>
      </c>
      <c r="J636" s="5">
        <v>983</v>
      </c>
    </row>
    <row r="637" spans="1:10" x14ac:dyDescent="0.35">
      <c r="A637" s="1">
        <v>44900</v>
      </c>
      <c r="B637" s="2">
        <f>YEAR(Sales_Dataset[[#This Row],[Order Date]])</f>
        <v>2022</v>
      </c>
      <c r="C637" s="2">
        <f>MONTH(Sales_Dataset[[#This Row],[Order Date]])</f>
        <v>12</v>
      </c>
      <c r="D637" t="s">
        <v>320</v>
      </c>
      <c r="E637" t="s">
        <v>9</v>
      </c>
      <c r="F637" t="s">
        <v>18</v>
      </c>
      <c r="G637" t="s">
        <v>19</v>
      </c>
      <c r="H637" s="5">
        <v>5024</v>
      </c>
      <c r="I637">
        <v>19</v>
      </c>
      <c r="J637" s="5">
        <v>1544</v>
      </c>
    </row>
    <row r="638" spans="1:10" x14ac:dyDescent="0.35">
      <c r="A638" s="1">
        <v>44902</v>
      </c>
      <c r="B638" s="2">
        <f>YEAR(Sales_Dataset[[#This Row],[Order Date]])</f>
        <v>2022</v>
      </c>
      <c r="C638" s="2">
        <f>MONTH(Sales_Dataset[[#This Row],[Order Date]])</f>
        <v>12</v>
      </c>
      <c r="D638" t="s">
        <v>110</v>
      </c>
      <c r="E638" t="s">
        <v>13</v>
      </c>
      <c r="F638" t="s">
        <v>10</v>
      </c>
      <c r="G638" t="s">
        <v>41</v>
      </c>
      <c r="H638" s="5">
        <v>6009</v>
      </c>
      <c r="I638">
        <v>7</v>
      </c>
      <c r="J638" s="5">
        <v>2107</v>
      </c>
    </row>
    <row r="639" spans="1:10" x14ac:dyDescent="0.35">
      <c r="A639" s="1">
        <v>44902</v>
      </c>
      <c r="B639" s="2">
        <f>YEAR(Sales_Dataset[[#This Row],[Order Date]])</f>
        <v>2022</v>
      </c>
      <c r="C639" s="2">
        <f>MONTH(Sales_Dataset[[#This Row],[Order Date]])</f>
        <v>12</v>
      </c>
      <c r="D639" t="s">
        <v>110</v>
      </c>
      <c r="E639" t="s">
        <v>13</v>
      </c>
      <c r="F639" t="s">
        <v>24</v>
      </c>
      <c r="G639" t="s">
        <v>25</v>
      </c>
      <c r="H639" s="5">
        <v>2858</v>
      </c>
      <c r="I639">
        <v>3</v>
      </c>
      <c r="J639" s="5">
        <v>230</v>
      </c>
    </row>
    <row r="640" spans="1:10" x14ac:dyDescent="0.35">
      <c r="A640" s="1">
        <v>44902</v>
      </c>
      <c r="B640" s="2">
        <f>YEAR(Sales_Dataset[[#This Row],[Order Date]])</f>
        <v>2022</v>
      </c>
      <c r="C640" s="2">
        <f>MONTH(Sales_Dataset[[#This Row],[Order Date]])</f>
        <v>12</v>
      </c>
      <c r="D640" t="s">
        <v>110</v>
      </c>
      <c r="E640" t="s">
        <v>13</v>
      </c>
      <c r="F640" t="s">
        <v>24</v>
      </c>
      <c r="G640" t="s">
        <v>31</v>
      </c>
      <c r="H640" s="5">
        <v>8175</v>
      </c>
      <c r="I640">
        <v>7</v>
      </c>
      <c r="J640" s="5">
        <v>525</v>
      </c>
    </row>
    <row r="641" spans="1:10" x14ac:dyDescent="0.35">
      <c r="A641" s="1">
        <v>44902</v>
      </c>
      <c r="B641" s="2">
        <f>YEAR(Sales_Dataset[[#This Row],[Order Date]])</f>
        <v>2022</v>
      </c>
      <c r="C641" s="2">
        <f>MONTH(Sales_Dataset[[#This Row],[Order Date]])</f>
        <v>12</v>
      </c>
      <c r="D641" t="s">
        <v>110</v>
      </c>
      <c r="E641" t="s">
        <v>13</v>
      </c>
      <c r="F641" t="s">
        <v>24</v>
      </c>
      <c r="G641" t="s">
        <v>31</v>
      </c>
      <c r="H641" s="5">
        <v>5846</v>
      </c>
      <c r="I641">
        <v>18</v>
      </c>
      <c r="J641" s="5">
        <v>586</v>
      </c>
    </row>
    <row r="642" spans="1:10" x14ac:dyDescent="0.35">
      <c r="A642" s="1">
        <v>44903</v>
      </c>
      <c r="B642" s="2">
        <f>YEAR(Sales_Dataset[[#This Row],[Order Date]])</f>
        <v>2022</v>
      </c>
      <c r="C642" s="2">
        <f>MONTH(Sales_Dataset[[#This Row],[Order Date]])</f>
        <v>12</v>
      </c>
      <c r="D642" t="s">
        <v>209</v>
      </c>
      <c r="E642" t="s">
        <v>36</v>
      </c>
      <c r="F642" t="s">
        <v>24</v>
      </c>
      <c r="G642" t="s">
        <v>31</v>
      </c>
      <c r="H642" s="5">
        <v>5322</v>
      </c>
      <c r="I642">
        <v>18</v>
      </c>
      <c r="J642" s="5">
        <v>1423</v>
      </c>
    </row>
    <row r="643" spans="1:10" x14ac:dyDescent="0.35">
      <c r="A643" s="1">
        <v>44903</v>
      </c>
      <c r="B643" s="2">
        <f>YEAR(Sales_Dataset[[#This Row],[Order Date]])</f>
        <v>2022</v>
      </c>
      <c r="C643" s="2">
        <f>MONTH(Sales_Dataset[[#This Row],[Order Date]])</f>
        <v>12</v>
      </c>
      <c r="D643" t="s">
        <v>432</v>
      </c>
      <c r="E643" t="s">
        <v>9</v>
      </c>
      <c r="F643" t="s">
        <v>10</v>
      </c>
      <c r="G643" t="s">
        <v>41</v>
      </c>
      <c r="H643" s="5">
        <v>2685</v>
      </c>
      <c r="I643">
        <v>18</v>
      </c>
      <c r="J643" s="5">
        <v>379</v>
      </c>
    </row>
    <row r="644" spans="1:10" x14ac:dyDescent="0.35">
      <c r="A644" s="1">
        <v>44903</v>
      </c>
      <c r="B644" s="2">
        <f>YEAR(Sales_Dataset[[#This Row],[Order Date]])</f>
        <v>2022</v>
      </c>
      <c r="C644" s="2">
        <f>MONTH(Sales_Dataset[[#This Row],[Order Date]])</f>
        <v>12</v>
      </c>
      <c r="D644" t="s">
        <v>432</v>
      </c>
      <c r="E644" t="s">
        <v>9</v>
      </c>
      <c r="F644" t="s">
        <v>24</v>
      </c>
      <c r="G644" t="s">
        <v>27</v>
      </c>
      <c r="H644" s="5">
        <v>9916</v>
      </c>
      <c r="I644">
        <v>14</v>
      </c>
      <c r="J644" s="5">
        <v>4602</v>
      </c>
    </row>
    <row r="645" spans="1:10" x14ac:dyDescent="0.35">
      <c r="A645" s="1">
        <v>44903</v>
      </c>
      <c r="B645" s="2">
        <f>YEAR(Sales_Dataset[[#This Row],[Order Date]])</f>
        <v>2022</v>
      </c>
      <c r="C645" s="2">
        <f>MONTH(Sales_Dataset[[#This Row],[Order Date]])</f>
        <v>12</v>
      </c>
      <c r="D645" t="s">
        <v>432</v>
      </c>
      <c r="E645" t="s">
        <v>9</v>
      </c>
      <c r="F645" t="s">
        <v>10</v>
      </c>
      <c r="G645" t="s">
        <v>11</v>
      </c>
      <c r="H645" s="5">
        <v>6184</v>
      </c>
      <c r="I645">
        <v>14</v>
      </c>
      <c r="J645" s="5">
        <v>50</v>
      </c>
    </row>
    <row r="646" spans="1:10" x14ac:dyDescent="0.35">
      <c r="A646" s="1">
        <v>44903</v>
      </c>
      <c r="B646" s="2">
        <f>YEAR(Sales_Dataset[[#This Row],[Order Date]])</f>
        <v>2022</v>
      </c>
      <c r="C646" s="2">
        <f>MONTH(Sales_Dataset[[#This Row],[Order Date]])</f>
        <v>12</v>
      </c>
      <c r="D646" t="s">
        <v>432</v>
      </c>
      <c r="E646" t="s">
        <v>9</v>
      </c>
      <c r="F646" t="s">
        <v>18</v>
      </c>
      <c r="G646" t="s">
        <v>30</v>
      </c>
      <c r="H646" s="5">
        <v>4548</v>
      </c>
      <c r="I646">
        <v>8</v>
      </c>
      <c r="J646" s="5">
        <v>2135</v>
      </c>
    </row>
    <row r="647" spans="1:10" x14ac:dyDescent="0.35">
      <c r="A647" s="1">
        <v>44903</v>
      </c>
      <c r="B647" s="2">
        <f>YEAR(Sales_Dataset[[#This Row],[Order Date]])</f>
        <v>2022</v>
      </c>
      <c r="C647" s="2">
        <f>MONTH(Sales_Dataset[[#This Row],[Order Date]])</f>
        <v>12</v>
      </c>
      <c r="D647" t="s">
        <v>646</v>
      </c>
      <c r="E647" t="s">
        <v>15</v>
      </c>
      <c r="F647" t="s">
        <v>18</v>
      </c>
      <c r="G647" t="s">
        <v>30</v>
      </c>
      <c r="H647" s="5">
        <v>3747</v>
      </c>
      <c r="I647">
        <v>5</v>
      </c>
      <c r="J647" s="5">
        <v>410</v>
      </c>
    </row>
    <row r="648" spans="1:10" x14ac:dyDescent="0.35">
      <c r="A648" s="1">
        <v>44903</v>
      </c>
      <c r="B648" s="2">
        <f>YEAR(Sales_Dataset[[#This Row],[Order Date]])</f>
        <v>2022</v>
      </c>
      <c r="C648" s="2">
        <f>MONTH(Sales_Dataset[[#This Row],[Order Date]])</f>
        <v>12</v>
      </c>
      <c r="D648" t="s">
        <v>646</v>
      </c>
      <c r="E648" t="s">
        <v>15</v>
      </c>
      <c r="F648" t="s">
        <v>18</v>
      </c>
      <c r="G648" t="s">
        <v>39</v>
      </c>
      <c r="H648" s="5">
        <v>3194</v>
      </c>
      <c r="I648">
        <v>4</v>
      </c>
      <c r="J648" s="5">
        <v>534</v>
      </c>
    </row>
    <row r="649" spans="1:10" x14ac:dyDescent="0.35">
      <c r="A649" s="1">
        <v>44903</v>
      </c>
      <c r="B649" s="2">
        <f>YEAR(Sales_Dataset[[#This Row],[Order Date]])</f>
        <v>2022</v>
      </c>
      <c r="C649" s="2">
        <f>MONTH(Sales_Dataset[[#This Row],[Order Date]])</f>
        <v>12</v>
      </c>
      <c r="D649" t="s">
        <v>753</v>
      </c>
      <c r="E649" t="s">
        <v>13</v>
      </c>
      <c r="F649" t="s">
        <v>10</v>
      </c>
      <c r="G649" t="s">
        <v>23</v>
      </c>
      <c r="H649" s="5">
        <v>7259</v>
      </c>
      <c r="I649">
        <v>10</v>
      </c>
      <c r="J649" s="5">
        <v>1969</v>
      </c>
    </row>
    <row r="650" spans="1:10" x14ac:dyDescent="0.35">
      <c r="A650" s="1">
        <v>44907</v>
      </c>
      <c r="B650" s="2">
        <f>YEAR(Sales_Dataset[[#This Row],[Order Date]])</f>
        <v>2022</v>
      </c>
      <c r="C650" s="2">
        <f>MONTH(Sales_Dataset[[#This Row],[Order Date]])</f>
        <v>12</v>
      </c>
      <c r="D650" t="s">
        <v>147</v>
      </c>
      <c r="E650" t="s">
        <v>13</v>
      </c>
      <c r="F650" t="s">
        <v>10</v>
      </c>
      <c r="G650" t="s">
        <v>41</v>
      </c>
      <c r="H650" s="5">
        <v>6671</v>
      </c>
      <c r="I650">
        <v>10</v>
      </c>
      <c r="J650" s="5">
        <v>2797</v>
      </c>
    </row>
    <row r="651" spans="1:10" x14ac:dyDescent="0.35">
      <c r="A651" s="1">
        <v>44907</v>
      </c>
      <c r="B651" s="2">
        <f>YEAR(Sales_Dataset[[#This Row],[Order Date]])</f>
        <v>2022</v>
      </c>
      <c r="C651" s="2">
        <f>MONTH(Sales_Dataset[[#This Row],[Order Date]])</f>
        <v>12</v>
      </c>
      <c r="D651" t="s">
        <v>394</v>
      </c>
      <c r="E651" t="s">
        <v>13</v>
      </c>
      <c r="F651" t="s">
        <v>18</v>
      </c>
      <c r="G651" t="s">
        <v>30</v>
      </c>
      <c r="H651" s="5">
        <v>7434</v>
      </c>
      <c r="I651">
        <v>5</v>
      </c>
      <c r="J651" s="5">
        <v>2851</v>
      </c>
    </row>
    <row r="652" spans="1:10" x14ac:dyDescent="0.35">
      <c r="A652" s="1">
        <v>44910</v>
      </c>
      <c r="B652" s="2">
        <f>YEAR(Sales_Dataset[[#This Row],[Order Date]])</f>
        <v>2022</v>
      </c>
      <c r="C652" s="2">
        <f>MONTH(Sales_Dataset[[#This Row],[Order Date]])</f>
        <v>12</v>
      </c>
      <c r="D652" t="s">
        <v>828</v>
      </c>
      <c r="E652" t="s">
        <v>36</v>
      </c>
      <c r="F652" t="s">
        <v>10</v>
      </c>
      <c r="G652" t="s">
        <v>41</v>
      </c>
      <c r="H652" s="5">
        <v>2082</v>
      </c>
      <c r="I652">
        <v>8</v>
      </c>
      <c r="J652" s="5">
        <v>642</v>
      </c>
    </row>
    <row r="653" spans="1:10" x14ac:dyDescent="0.35">
      <c r="A653" s="1">
        <v>44911</v>
      </c>
      <c r="B653" s="2">
        <f>YEAR(Sales_Dataset[[#This Row],[Order Date]])</f>
        <v>2022</v>
      </c>
      <c r="C653" s="2">
        <f>MONTH(Sales_Dataset[[#This Row],[Order Date]])</f>
        <v>12</v>
      </c>
      <c r="D653" t="s">
        <v>69</v>
      </c>
      <c r="E653" t="s">
        <v>15</v>
      </c>
      <c r="F653" t="s">
        <v>24</v>
      </c>
      <c r="G653" t="s">
        <v>51</v>
      </c>
      <c r="H653" s="5">
        <v>1126</v>
      </c>
      <c r="I653">
        <v>1</v>
      </c>
      <c r="J653" s="5">
        <v>55</v>
      </c>
    </row>
    <row r="654" spans="1:10" x14ac:dyDescent="0.35">
      <c r="A654" s="1">
        <v>44912</v>
      </c>
      <c r="B654" s="2">
        <f>YEAR(Sales_Dataset[[#This Row],[Order Date]])</f>
        <v>2022</v>
      </c>
      <c r="C654" s="2">
        <f>MONTH(Sales_Dataset[[#This Row],[Order Date]])</f>
        <v>12</v>
      </c>
      <c r="D654" t="s">
        <v>192</v>
      </c>
      <c r="E654" t="s">
        <v>15</v>
      </c>
      <c r="F654" t="s">
        <v>10</v>
      </c>
      <c r="G654" t="s">
        <v>23</v>
      </c>
      <c r="H654" s="5">
        <v>1239</v>
      </c>
      <c r="I654">
        <v>17</v>
      </c>
      <c r="J654" s="5">
        <v>575</v>
      </c>
    </row>
    <row r="655" spans="1:10" x14ac:dyDescent="0.35">
      <c r="A655" s="1">
        <v>44912</v>
      </c>
      <c r="B655" s="2">
        <f>YEAR(Sales_Dataset[[#This Row],[Order Date]])</f>
        <v>2022</v>
      </c>
      <c r="C655" s="2">
        <f>MONTH(Sales_Dataset[[#This Row],[Order Date]])</f>
        <v>12</v>
      </c>
      <c r="D655" t="s">
        <v>192</v>
      </c>
      <c r="E655" t="s">
        <v>15</v>
      </c>
      <c r="F655" t="s">
        <v>10</v>
      </c>
      <c r="G655" t="s">
        <v>11</v>
      </c>
      <c r="H655" s="5">
        <v>1262</v>
      </c>
      <c r="I655">
        <v>16</v>
      </c>
      <c r="J655" s="5">
        <v>515</v>
      </c>
    </row>
    <row r="656" spans="1:10" x14ac:dyDescent="0.35">
      <c r="A656" s="1">
        <v>44915</v>
      </c>
      <c r="B656" s="2">
        <f>YEAR(Sales_Dataset[[#This Row],[Order Date]])</f>
        <v>2022</v>
      </c>
      <c r="C656" s="2">
        <f>MONTH(Sales_Dataset[[#This Row],[Order Date]])</f>
        <v>12</v>
      </c>
      <c r="D656" t="s">
        <v>162</v>
      </c>
      <c r="E656" t="s">
        <v>36</v>
      </c>
      <c r="F656" t="s">
        <v>24</v>
      </c>
      <c r="G656" t="s">
        <v>25</v>
      </c>
      <c r="H656" s="5">
        <v>7421</v>
      </c>
      <c r="I656">
        <v>10</v>
      </c>
      <c r="J656" s="5">
        <v>958</v>
      </c>
    </row>
    <row r="657" spans="1:10" x14ac:dyDescent="0.35">
      <c r="A657" s="1">
        <v>44916</v>
      </c>
      <c r="B657" s="2">
        <f>YEAR(Sales_Dataset[[#This Row],[Order Date]])</f>
        <v>2022</v>
      </c>
      <c r="C657" s="2">
        <f>MONTH(Sales_Dataset[[#This Row],[Order Date]])</f>
        <v>12</v>
      </c>
      <c r="D657" t="s">
        <v>318</v>
      </c>
      <c r="E657" t="s">
        <v>36</v>
      </c>
      <c r="F657" t="s">
        <v>10</v>
      </c>
      <c r="G657" t="s">
        <v>16</v>
      </c>
      <c r="H657" s="5">
        <v>7377</v>
      </c>
      <c r="I657">
        <v>15</v>
      </c>
      <c r="J657" s="5">
        <v>320</v>
      </c>
    </row>
    <row r="658" spans="1:10" x14ac:dyDescent="0.35">
      <c r="A658" s="1">
        <v>44916</v>
      </c>
      <c r="B658" s="2">
        <f>YEAR(Sales_Dataset[[#This Row],[Order Date]])</f>
        <v>2022</v>
      </c>
      <c r="C658" s="2">
        <f>MONTH(Sales_Dataset[[#This Row],[Order Date]])</f>
        <v>12</v>
      </c>
      <c r="D658" t="s">
        <v>318</v>
      </c>
      <c r="E658" t="s">
        <v>36</v>
      </c>
      <c r="F658" t="s">
        <v>18</v>
      </c>
      <c r="G658" t="s">
        <v>30</v>
      </c>
      <c r="H658" s="5">
        <v>2054</v>
      </c>
      <c r="I658">
        <v>12</v>
      </c>
      <c r="J658" s="5">
        <v>371</v>
      </c>
    </row>
    <row r="659" spans="1:10" x14ac:dyDescent="0.35">
      <c r="A659" s="1">
        <v>44917</v>
      </c>
      <c r="B659" s="2">
        <f>YEAR(Sales_Dataset[[#This Row],[Order Date]])</f>
        <v>2022</v>
      </c>
      <c r="C659" s="2">
        <f>MONTH(Sales_Dataset[[#This Row],[Order Date]])</f>
        <v>12</v>
      </c>
      <c r="D659" t="s">
        <v>708</v>
      </c>
      <c r="E659" t="s">
        <v>36</v>
      </c>
      <c r="F659" t="s">
        <v>24</v>
      </c>
      <c r="G659" t="s">
        <v>31</v>
      </c>
      <c r="H659" s="5">
        <v>5518</v>
      </c>
      <c r="I659">
        <v>7</v>
      </c>
      <c r="J659" s="5">
        <v>867</v>
      </c>
    </row>
    <row r="660" spans="1:10" x14ac:dyDescent="0.35">
      <c r="A660" s="1">
        <v>44918</v>
      </c>
      <c r="B660" s="2">
        <f>YEAR(Sales_Dataset[[#This Row],[Order Date]])</f>
        <v>2022</v>
      </c>
      <c r="C660" s="2">
        <f>MONTH(Sales_Dataset[[#This Row],[Order Date]])</f>
        <v>12</v>
      </c>
      <c r="D660" t="s">
        <v>85</v>
      </c>
      <c r="E660" t="s">
        <v>36</v>
      </c>
      <c r="F660" t="s">
        <v>24</v>
      </c>
      <c r="G660" t="s">
        <v>31</v>
      </c>
      <c r="H660" s="5">
        <v>1954</v>
      </c>
      <c r="I660">
        <v>7</v>
      </c>
      <c r="J660" s="5">
        <v>294</v>
      </c>
    </row>
    <row r="661" spans="1:10" x14ac:dyDescent="0.35">
      <c r="A661" s="1">
        <v>44918</v>
      </c>
      <c r="B661" s="2">
        <f>YEAR(Sales_Dataset[[#This Row],[Order Date]])</f>
        <v>2022</v>
      </c>
      <c r="C661" s="2">
        <f>MONTH(Sales_Dataset[[#This Row],[Order Date]])</f>
        <v>12</v>
      </c>
      <c r="D661" t="s">
        <v>448</v>
      </c>
      <c r="E661" t="s">
        <v>15</v>
      </c>
      <c r="F661" t="s">
        <v>18</v>
      </c>
      <c r="G661" t="s">
        <v>30</v>
      </c>
      <c r="H661" s="5">
        <v>8141</v>
      </c>
      <c r="I661">
        <v>18</v>
      </c>
      <c r="J661" s="5">
        <v>3968</v>
      </c>
    </row>
    <row r="662" spans="1:10" x14ac:dyDescent="0.35">
      <c r="A662" s="1">
        <v>44918</v>
      </c>
      <c r="B662" s="2">
        <f>YEAR(Sales_Dataset[[#This Row],[Order Date]])</f>
        <v>2022</v>
      </c>
      <c r="C662" s="2">
        <f>MONTH(Sales_Dataset[[#This Row],[Order Date]])</f>
        <v>12</v>
      </c>
      <c r="D662" t="s">
        <v>448</v>
      </c>
      <c r="E662" t="s">
        <v>15</v>
      </c>
      <c r="F662" t="s">
        <v>24</v>
      </c>
      <c r="G662" t="s">
        <v>31</v>
      </c>
      <c r="H662" s="5">
        <v>1067</v>
      </c>
      <c r="I662">
        <v>14</v>
      </c>
      <c r="J662" s="5">
        <v>251</v>
      </c>
    </row>
    <row r="663" spans="1:10" x14ac:dyDescent="0.35">
      <c r="A663" s="1">
        <v>44918</v>
      </c>
      <c r="B663" s="2">
        <f>YEAR(Sales_Dataset[[#This Row],[Order Date]])</f>
        <v>2022</v>
      </c>
      <c r="C663" s="2">
        <f>MONTH(Sales_Dataset[[#This Row],[Order Date]])</f>
        <v>12</v>
      </c>
      <c r="D663" t="s">
        <v>468</v>
      </c>
      <c r="E663" t="s">
        <v>15</v>
      </c>
      <c r="F663" t="s">
        <v>24</v>
      </c>
      <c r="G663" t="s">
        <v>25</v>
      </c>
      <c r="H663" s="5">
        <v>717</v>
      </c>
      <c r="I663">
        <v>16</v>
      </c>
      <c r="J663" s="5">
        <v>158</v>
      </c>
    </row>
    <row r="664" spans="1:10" x14ac:dyDescent="0.35">
      <c r="A664" s="1">
        <v>44918</v>
      </c>
      <c r="B664" s="2">
        <f>YEAR(Sales_Dataset[[#This Row],[Order Date]])</f>
        <v>2022</v>
      </c>
      <c r="C664" s="2">
        <f>MONTH(Sales_Dataset[[#This Row],[Order Date]])</f>
        <v>12</v>
      </c>
      <c r="D664" t="s">
        <v>468</v>
      </c>
      <c r="E664" t="s">
        <v>15</v>
      </c>
      <c r="F664" t="s">
        <v>24</v>
      </c>
      <c r="G664" t="s">
        <v>31</v>
      </c>
      <c r="H664" s="5">
        <v>508</v>
      </c>
      <c r="I664">
        <v>17</v>
      </c>
      <c r="J664" s="5">
        <v>177</v>
      </c>
    </row>
    <row r="665" spans="1:10" x14ac:dyDescent="0.35">
      <c r="A665" s="1">
        <v>44920</v>
      </c>
      <c r="B665" s="2">
        <f>YEAR(Sales_Dataset[[#This Row],[Order Date]])</f>
        <v>2022</v>
      </c>
      <c r="C665" s="2">
        <f>MONTH(Sales_Dataset[[#This Row],[Order Date]])</f>
        <v>12</v>
      </c>
      <c r="D665" t="s">
        <v>325</v>
      </c>
      <c r="E665" t="s">
        <v>47</v>
      </c>
      <c r="F665" t="s">
        <v>24</v>
      </c>
      <c r="G665" t="s">
        <v>31</v>
      </c>
      <c r="H665" s="5">
        <v>7346</v>
      </c>
      <c r="I665">
        <v>10</v>
      </c>
      <c r="J665" s="5">
        <v>1043</v>
      </c>
    </row>
    <row r="666" spans="1:10" x14ac:dyDescent="0.35">
      <c r="A666" s="1">
        <v>44920</v>
      </c>
      <c r="B666" s="2">
        <f>YEAR(Sales_Dataset[[#This Row],[Order Date]])</f>
        <v>2022</v>
      </c>
      <c r="C666" s="2">
        <f>MONTH(Sales_Dataset[[#This Row],[Order Date]])</f>
        <v>12</v>
      </c>
      <c r="D666" t="s">
        <v>325</v>
      </c>
      <c r="E666" t="s">
        <v>47</v>
      </c>
      <c r="F666" t="s">
        <v>10</v>
      </c>
      <c r="G666" t="s">
        <v>11</v>
      </c>
      <c r="H666" s="5">
        <v>9770</v>
      </c>
      <c r="I666">
        <v>7</v>
      </c>
      <c r="J666" s="5">
        <v>4132</v>
      </c>
    </row>
    <row r="667" spans="1:10" x14ac:dyDescent="0.35">
      <c r="A667" s="1">
        <v>44920</v>
      </c>
      <c r="B667" s="2">
        <f>YEAR(Sales_Dataset[[#This Row],[Order Date]])</f>
        <v>2022</v>
      </c>
      <c r="C667" s="2">
        <f>MONTH(Sales_Dataset[[#This Row],[Order Date]])</f>
        <v>12</v>
      </c>
      <c r="D667" t="s">
        <v>325</v>
      </c>
      <c r="E667" t="s">
        <v>47</v>
      </c>
      <c r="F667" t="s">
        <v>10</v>
      </c>
      <c r="G667" t="s">
        <v>23</v>
      </c>
      <c r="H667" s="5">
        <v>7179</v>
      </c>
      <c r="I667">
        <v>13</v>
      </c>
      <c r="J667" s="5">
        <v>683</v>
      </c>
    </row>
    <row r="668" spans="1:10" x14ac:dyDescent="0.35">
      <c r="A668" s="1">
        <v>44920</v>
      </c>
      <c r="B668" s="2">
        <f>YEAR(Sales_Dataset[[#This Row],[Order Date]])</f>
        <v>2022</v>
      </c>
      <c r="C668" s="2">
        <f>MONTH(Sales_Dataset[[#This Row],[Order Date]])</f>
        <v>12</v>
      </c>
      <c r="D668" t="s">
        <v>361</v>
      </c>
      <c r="E668" t="s">
        <v>47</v>
      </c>
      <c r="F668" t="s">
        <v>24</v>
      </c>
      <c r="G668" t="s">
        <v>51</v>
      </c>
      <c r="H668" s="5">
        <v>6967</v>
      </c>
      <c r="I668">
        <v>17</v>
      </c>
      <c r="J668" s="5">
        <v>3257</v>
      </c>
    </row>
    <row r="669" spans="1:10" x14ac:dyDescent="0.35">
      <c r="A669" s="1">
        <v>44920</v>
      </c>
      <c r="B669" s="2">
        <f>YEAR(Sales_Dataset[[#This Row],[Order Date]])</f>
        <v>2022</v>
      </c>
      <c r="C669" s="2">
        <f>MONTH(Sales_Dataset[[#This Row],[Order Date]])</f>
        <v>12</v>
      </c>
      <c r="D669" t="s">
        <v>361</v>
      </c>
      <c r="E669" t="s">
        <v>47</v>
      </c>
      <c r="F669" t="s">
        <v>18</v>
      </c>
      <c r="G669" t="s">
        <v>33</v>
      </c>
      <c r="H669" s="5">
        <v>1091</v>
      </c>
      <c r="I669">
        <v>6</v>
      </c>
      <c r="J669" s="5">
        <v>277</v>
      </c>
    </row>
    <row r="670" spans="1:10" x14ac:dyDescent="0.35">
      <c r="A670" s="1">
        <v>44920</v>
      </c>
      <c r="B670" s="2">
        <f>YEAR(Sales_Dataset[[#This Row],[Order Date]])</f>
        <v>2022</v>
      </c>
      <c r="C670" s="2">
        <f>MONTH(Sales_Dataset[[#This Row],[Order Date]])</f>
        <v>12</v>
      </c>
      <c r="D670" t="s">
        <v>361</v>
      </c>
      <c r="E670" t="s">
        <v>47</v>
      </c>
      <c r="F670" t="s">
        <v>18</v>
      </c>
      <c r="G670" t="s">
        <v>39</v>
      </c>
      <c r="H670" s="5">
        <v>6027</v>
      </c>
      <c r="I670">
        <v>2</v>
      </c>
      <c r="J670" s="5">
        <v>1530</v>
      </c>
    </row>
    <row r="671" spans="1:10" x14ac:dyDescent="0.35">
      <c r="A671" s="1">
        <v>44921</v>
      </c>
      <c r="B671" s="2">
        <f>YEAR(Sales_Dataset[[#This Row],[Order Date]])</f>
        <v>2022</v>
      </c>
      <c r="C671" s="2">
        <f>MONTH(Sales_Dataset[[#This Row],[Order Date]])</f>
        <v>12</v>
      </c>
      <c r="D671" t="s">
        <v>499</v>
      </c>
      <c r="E671" t="s">
        <v>36</v>
      </c>
      <c r="F671" t="s">
        <v>18</v>
      </c>
      <c r="G671" t="s">
        <v>39</v>
      </c>
      <c r="H671" s="5">
        <v>2944</v>
      </c>
      <c r="I671">
        <v>5</v>
      </c>
      <c r="J671" s="5">
        <v>249</v>
      </c>
    </row>
    <row r="672" spans="1:10" x14ac:dyDescent="0.35">
      <c r="A672" s="1">
        <v>44922</v>
      </c>
      <c r="B672" s="2">
        <f>YEAR(Sales_Dataset[[#This Row],[Order Date]])</f>
        <v>2022</v>
      </c>
      <c r="C672" s="2">
        <f>MONTH(Sales_Dataset[[#This Row],[Order Date]])</f>
        <v>12</v>
      </c>
      <c r="D672" t="s">
        <v>284</v>
      </c>
      <c r="E672" t="s">
        <v>22</v>
      </c>
      <c r="F672" t="s">
        <v>18</v>
      </c>
      <c r="G672" t="s">
        <v>19</v>
      </c>
      <c r="H672" s="5">
        <v>1248</v>
      </c>
      <c r="I672">
        <v>13</v>
      </c>
      <c r="J672" s="5">
        <v>584</v>
      </c>
    </row>
    <row r="673" spans="1:10" x14ac:dyDescent="0.35">
      <c r="A673" s="1">
        <v>44922</v>
      </c>
      <c r="B673" s="2">
        <f>YEAR(Sales_Dataset[[#This Row],[Order Date]])</f>
        <v>2022</v>
      </c>
      <c r="C673" s="2">
        <f>MONTH(Sales_Dataset[[#This Row],[Order Date]])</f>
        <v>12</v>
      </c>
      <c r="D673" t="s">
        <v>284</v>
      </c>
      <c r="E673" t="s">
        <v>22</v>
      </c>
      <c r="F673" t="s">
        <v>18</v>
      </c>
      <c r="G673" t="s">
        <v>30</v>
      </c>
      <c r="H673" s="5">
        <v>3669</v>
      </c>
      <c r="I673">
        <v>14</v>
      </c>
      <c r="J673" s="5">
        <v>154</v>
      </c>
    </row>
    <row r="674" spans="1:10" x14ac:dyDescent="0.35">
      <c r="A674" s="1">
        <v>44922</v>
      </c>
      <c r="B674" s="2">
        <f>YEAR(Sales_Dataset[[#This Row],[Order Date]])</f>
        <v>2022</v>
      </c>
      <c r="C674" s="2">
        <f>MONTH(Sales_Dataset[[#This Row],[Order Date]])</f>
        <v>12</v>
      </c>
      <c r="D674" t="s">
        <v>284</v>
      </c>
      <c r="E674" t="s">
        <v>22</v>
      </c>
      <c r="F674" t="s">
        <v>18</v>
      </c>
      <c r="G674" t="s">
        <v>33</v>
      </c>
      <c r="H674" s="5">
        <v>514</v>
      </c>
      <c r="I674">
        <v>15</v>
      </c>
      <c r="J674" s="5">
        <v>109</v>
      </c>
    </row>
    <row r="675" spans="1:10" x14ac:dyDescent="0.35">
      <c r="A675" s="1">
        <v>44922</v>
      </c>
      <c r="B675" s="2">
        <f>YEAR(Sales_Dataset[[#This Row],[Order Date]])</f>
        <v>2022</v>
      </c>
      <c r="C675" s="2">
        <f>MONTH(Sales_Dataset[[#This Row],[Order Date]])</f>
        <v>12</v>
      </c>
      <c r="D675" t="s">
        <v>323</v>
      </c>
      <c r="E675" t="s">
        <v>15</v>
      </c>
      <c r="F675" t="s">
        <v>18</v>
      </c>
      <c r="G675" t="s">
        <v>33</v>
      </c>
      <c r="H675" s="5">
        <v>7792</v>
      </c>
      <c r="I675">
        <v>13</v>
      </c>
      <c r="J675" s="5">
        <v>1403</v>
      </c>
    </row>
    <row r="676" spans="1:10" x14ac:dyDescent="0.35">
      <c r="A676" s="1">
        <v>44922</v>
      </c>
      <c r="B676" s="2">
        <f>YEAR(Sales_Dataset[[#This Row],[Order Date]])</f>
        <v>2022</v>
      </c>
      <c r="C676" s="2">
        <f>MONTH(Sales_Dataset[[#This Row],[Order Date]])</f>
        <v>12</v>
      </c>
      <c r="D676" t="s">
        <v>323</v>
      </c>
      <c r="E676" t="s">
        <v>15</v>
      </c>
      <c r="F676" t="s">
        <v>24</v>
      </c>
      <c r="G676" t="s">
        <v>27</v>
      </c>
      <c r="H676" s="5">
        <v>2346</v>
      </c>
      <c r="I676">
        <v>14</v>
      </c>
      <c r="J676" s="5">
        <v>388</v>
      </c>
    </row>
    <row r="677" spans="1:10" x14ac:dyDescent="0.35">
      <c r="A677" s="1">
        <v>44923</v>
      </c>
      <c r="B677" s="2">
        <f>YEAR(Sales_Dataset[[#This Row],[Order Date]])</f>
        <v>2022</v>
      </c>
      <c r="C677" s="2">
        <f>MONTH(Sales_Dataset[[#This Row],[Order Date]])</f>
        <v>12</v>
      </c>
      <c r="D677" t="s">
        <v>509</v>
      </c>
      <c r="E677" t="s">
        <v>13</v>
      </c>
      <c r="F677" t="s">
        <v>10</v>
      </c>
      <c r="G677" t="s">
        <v>11</v>
      </c>
      <c r="H677" s="5">
        <v>3776</v>
      </c>
      <c r="I677">
        <v>9</v>
      </c>
      <c r="J677" s="5">
        <v>1100</v>
      </c>
    </row>
    <row r="678" spans="1:10" x14ac:dyDescent="0.35">
      <c r="A678" s="1">
        <v>44932</v>
      </c>
      <c r="B678" s="2">
        <f>YEAR(Sales_Dataset[[#This Row],[Order Date]])</f>
        <v>2023</v>
      </c>
      <c r="C678" s="2">
        <f>MONTH(Sales_Dataset[[#This Row],[Order Date]])</f>
        <v>1</v>
      </c>
      <c r="D678" t="s">
        <v>711</v>
      </c>
      <c r="E678" t="s">
        <v>13</v>
      </c>
      <c r="F678" t="s">
        <v>10</v>
      </c>
      <c r="G678" t="s">
        <v>16</v>
      </c>
      <c r="H678" s="5">
        <v>762</v>
      </c>
      <c r="I678">
        <v>11</v>
      </c>
      <c r="J678" s="5">
        <v>92</v>
      </c>
    </row>
    <row r="679" spans="1:10" x14ac:dyDescent="0.35">
      <c r="A679" s="1">
        <v>44937</v>
      </c>
      <c r="B679" s="2">
        <f>YEAR(Sales_Dataset[[#This Row],[Order Date]])</f>
        <v>2023</v>
      </c>
      <c r="C679" s="2">
        <f>MONTH(Sales_Dataset[[#This Row],[Order Date]])</f>
        <v>1</v>
      </c>
      <c r="D679" t="s">
        <v>267</v>
      </c>
      <c r="E679" t="s">
        <v>22</v>
      </c>
      <c r="F679" t="s">
        <v>18</v>
      </c>
      <c r="G679" t="s">
        <v>33</v>
      </c>
      <c r="H679" s="5">
        <v>2901</v>
      </c>
      <c r="I679">
        <v>2</v>
      </c>
      <c r="J679" s="5">
        <v>1411</v>
      </c>
    </row>
    <row r="680" spans="1:10" x14ac:dyDescent="0.35">
      <c r="A680" s="1">
        <v>44937</v>
      </c>
      <c r="B680" s="2">
        <f>YEAR(Sales_Dataset[[#This Row],[Order Date]])</f>
        <v>2023</v>
      </c>
      <c r="C680" s="2">
        <f>MONTH(Sales_Dataset[[#This Row],[Order Date]])</f>
        <v>1</v>
      </c>
      <c r="D680" t="s">
        <v>267</v>
      </c>
      <c r="E680" t="s">
        <v>22</v>
      </c>
      <c r="F680" t="s">
        <v>18</v>
      </c>
      <c r="G680" t="s">
        <v>19</v>
      </c>
      <c r="H680" s="5">
        <v>6934</v>
      </c>
      <c r="I680">
        <v>6</v>
      </c>
      <c r="J680" s="5">
        <v>1152</v>
      </c>
    </row>
    <row r="681" spans="1:10" x14ac:dyDescent="0.35">
      <c r="A681" s="1">
        <v>44938</v>
      </c>
      <c r="B681" s="2">
        <f>YEAR(Sales_Dataset[[#This Row],[Order Date]])</f>
        <v>2023</v>
      </c>
      <c r="C681" s="2">
        <f>MONTH(Sales_Dataset[[#This Row],[Order Date]])</f>
        <v>1</v>
      </c>
      <c r="D681" t="s">
        <v>556</v>
      </c>
      <c r="E681" t="s">
        <v>15</v>
      </c>
      <c r="F681" t="s">
        <v>10</v>
      </c>
      <c r="G681" t="s">
        <v>41</v>
      </c>
      <c r="H681" s="5">
        <v>798</v>
      </c>
      <c r="I681">
        <v>10</v>
      </c>
      <c r="J681" s="5">
        <v>308</v>
      </c>
    </row>
    <row r="682" spans="1:10" x14ac:dyDescent="0.35">
      <c r="A682" s="1">
        <v>44938</v>
      </c>
      <c r="B682" s="2">
        <f>YEAR(Sales_Dataset[[#This Row],[Order Date]])</f>
        <v>2023</v>
      </c>
      <c r="C682" s="2">
        <f>MONTH(Sales_Dataset[[#This Row],[Order Date]])</f>
        <v>1</v>
      </c>
      <c r="D682" t="s">
        <v>556</v>
      </c>
      <c r="E682" t="s">
        <v>15</v>
      </c>
      <c r="F682" t="s">
        <v>10</v>
      </c>
      <c r="G682" t="s">
        <v>16</v>
      </c>
      <c r="H682" s="5">
        <v>7967</v>
      </c>
      <c r="I682">
        <v>13</v>
      </c>
      <c r="J682" s="5">
        <v>2504</v>
      </c>
    </row>
    <row r="683" spans="1:10" x14ac:dyDescent="0.35">
      <c r="A683" s="1">
        <v>44943</v>
      </c>
      <c r="B683" s="2">
        <f>YEAR(Sales_Dataset[[#This Row],[Order Date]])</f>
        <v>2023</v>
      </c>
      <c r="C683" s="2">
        <f>MONTH(Sales_Dataset[[#This Row],[Order Date]])</f>
        <v>1</v>
      </c>
      <c r="D683" t="s">
        <v>216</v>
      </c>
      <c r="E683" t="s">
        <v>47</v>
      </c>
      <c r="F683" t="s">
        <v>10</v>
      </c>
      <c r="G683" t="s">
        <v>23</v>
      </c>
      <c r="H683" s="5">
        <v>1231</v>
      </c>
      <c r="I683">
        <v>20</v>
      </c>
      <c r="J683" s="5">
        <v>214</v>
      </c>
    </row>
    <row r="684" spans="1:10" x14ac:dyDescent="0.35">
      <c r="A684" s="1">
        <v>44944</v>
      </c>
      <c r="B684" s="2">
        <f>YEAR(Sales_Dataset[[#This Row],[Order Date]])</f>
        <v>2023</v>
      </c>
      <c r="C684" s="2">
        <f>MONTH(Sales_Dataset[[#This Row],[Order Date]])</f>
        <v>1</v>
      </c>
      <c r="D684" t="s">
        <v>561</v>
      </c>
      <c r="E684" t="s">
        <v>47</v>
      </c>
      <c r="F684" t="s">
        <v>24</v>
      </c>
      <c r="G684" t="s">
        <v>25</v>
      </c>
      <c r="H684" s="5">
        <v>714</v>
      </c>
      <c r="I684">
        <v>14</v>
      </c>
      <c r="J684" s="5">
        <v>232</v>
      </c>
    </row>
    <row r="685" spans="1:10" x14ac:dyDescent="0.35">
      <c r="A685" s="1">
        <v>44944</v>
      </c>
      <c r="B685" s="2">
        <f>YEAR(Sales_Dataset[[#This Row],[Order Date]])</f>
        <v>2023</v>
      </c>
      <c r="C685" s="2">
        <f>MONTH(Sales_Dataset[[#This Row],[Order Date]])</f>
        <v>1</v>
      </c>
      <c r="D685" t="s">
        <v>742</v>
      </c>
      <c r="E685" t="s">
        <v>22</v>
      </c>
      <c r="F685" t="s">
        <v>24</v>
      </c>
      <c r="G685" t="s">
        <v>25</v>
      </c>
      <c r="H685" s="5">
        <v>847</v>
      </c>
      <c r="I685">
        <v>17</v>
      </c>
      <c r="J685" s="5">
        <v>355</v>
      </c>
    </row>
    <row r="686" spans="1:10" x14ac:dyDescent="0.35">
      <c r="A686" s="1">
        <v>44946</v>
      </c>
      <c r="B686" s="2">
        <f>YEAR(Sales_Dataset[[#This Row],[Order Date]])</f>
        <v>2023</v>
      </c>
      <c r="C686" s="2">
        <f>MONTH(Sales_Dataset[[#This Row],[Order Date]])</f>
        <v>1</v>
      </c>
      <c r="D686" t="s">
        <v>490</v>
      </c>
      <c r="E686" t="s">
        <v>13</v>
      </c>
      <c r="F686" t="s">
        <v>18</v>
      </c>
      <c r="G686" t="s">
        <v>30</v>
      </c>
      <c r="H686" s="5">
        <v>8769</v>
      </c>
      <c r="I686">
        <v>16</v>
      </c>
      <c r="J686" s="5">
        <v>3178</v>
      </c>
    </row>
    <row r="687" spans="1:10" x14ac:dyDescent="0.35">
      <c r="A687" s="1">
        <v>44948</v>
      </c>
      <c r="B687" s="2">
        <f>YEAR(Sales_Dataset[[#This Row],[Order Date]])</f>
        <v>2023</v>
      </c>
      <c r="C687" s="2">
        <f>MONTH(Sales_Dataset[[#This Row],[Order Date]])</f>
        <v>1</v>
      </c>
      <c r="D687" t="s">
        <v>287</v>
      </c>
      <c r="E687" t="s">
        <v>13</v>
      </c>
      <c r="F687" t="s">
        <v>10</v>
      </c>
      <c r="G687" t="s">
        <v>23</v>
      </c>
      <c r="H687" s="5">
        <v>5564</v>
      </c>
      <c r="I687">
        <v>11</v>
      </c>
      <c r="J687" s="5">
        <v>175</v>
      </c>
    </row>
    <row r="688" spans="1:10" x14ac:dyDescent="0.35">
      <c r="A688" s="1">
        <v>44948</v>
      </c>
      <c r="B688" s="2">
        <f>YEAR(Sales_Dataset[[#This Row],[Order Date]])</f>
        <v>2023</v>
      </c>
      <c r="C688" s="2">
        <f>MONTH(Sales_Dataset[[#This Row],[Order Date]])</f>
        <v>1</v>
      </c>
      <c r="D688" t="s">
        <v>287</v>
      </c>
      <c r="E688" t="s">
        <v>13</v>
      </c>
      <c r="F688" t="s">
        <v>10</v>
      </c>
      <c r="G688" t="s">
        <v>11</v>
      </c>
      <c r="H688" s="5">
        <v>3953</v>
      </c>
      <c r="I688">
        <v>15</v>
      </c>
      <c r="J688" s="5">
        <v>1776</v>
      </c>
    </row>
    <row r="689" spans="1:10" x14ac:dyDescent="0.35">
      <c r="A689" s="1">
        <v>44949</v>
      </c>
      <c r="B689" s="2">
        <f>YEAR(Sales_Dataset[[#This Row],[Order Date]])</f>
        <v>2023</v>
      </c>
      <c r="C689" s="2">
        <f>MONTH(Sales_Dataset[[#This Row],[Order Date]])</f>
        <v>1</v>
      </c>
      <c r="D689" t="s">
        <v>358</v>
      </c>
      <c r="E689" t="s">
        <v>22</v>
      </c>
      <c r="F689" t="s">
        <v>10</v>
      </c>
      <c r="G689" t="s">
        <v>23</v>
      </c>
      <c r="H689" s="5">
        <v>4688</v>
      </c>
      <c r="I689">
        <v>3</v>
      </c>
      <c r="J689" s="5">
        <v>1841</v>
      </c>
    </row>
    <row r="690" spans="1:10" x14ac:dyDescent="0.35">
      <c r="A690" s="1">
        <v>44952</v>
      </c>
      <c r="B690" s="2">
        <f>YEAR(Sales_Dataset[[#This Row],[Order Date]])</f>
        <v>2023</v>
      </c>
      <c r="C690" s="2">
        <f>MONTH(Sales_Dataset[[#This Row],[Order Date]])</f>
        <v>1</v>
      </c>
      <c r="D690" t="s">
        <v>620</v>
      </c>
      <c r="E690" t="s">
        <v>36</v>
      </c>
      <c r="F690" t="s">
        <v>24</v>
      </c>
      <c r="G690" t="s">
        <v>31</v>
      </c>
      <c r="H690" s="5">
        <v>3661</v>
      </c>
      <c r="I690">
        <v>13</v>
      </c>
      <c r="J690" s="5">
        <v>436</v>
      </c>
    </row>
    <row r="691" spans="1:10" x14ac:dyDescent="0.35">
      <c r="A691" s="1">
        <v>44954</v>
      </c>
      <c r="B691" s="2">
        <f>YEAR(Sales_Dataset[[#This Row],[Order Date]])</f>
        <v>2023</v>
      </c>
      <c r="C691" s="2">
        <f>MONTH(Sales_Dataset[[#This Row],[Order Date]])</f>
        <v>1</v>
      </c>
      <c r="D691" t="s">
        <v>188</v>
      </c>
      <c r="E691" t="s">
        <v>36</v>
      </c>
      <c r="F691" t="s">
        <v>24</v>
      </c>
      <c r="G691" t="s">
        <v>31</v>
      </c>
      <c r="H691" s="5">
        <v>1760</v>
      </c>
      <c r="I691">
        <v>16</v>
      </c>
      <c r="J691" s="5">
        <v>619</v>
      </c>
    </row>
    <row r="692" spans="1:10" x14ac:dyDescent="0.35">
      <c r="A692" s="1">
        <v>44954</v>
      </c>
      <c r="B692" s="2">
        <f>YEAR(Sales_Dataset[[#This Row],[Order Date]])</f>
        <v>2023</v>
      </c>
      <c r="C692" s="2">
        <f>MONTH(Sales_Dataset[[#This Row],[Order Date]])</f>
        <v>1</v>
      </c>
      <c r="D692" t="s">
        <v>188</v>
      </c>
      <c r="E692" t="s">
        <v>36</v>
      </c>
      <c r="F692" t="s">
        <v>10</v>
      </c>
      <c r="G692" t="s">
        <v>16</v>
      </c>
      <c r="H692" s="5">
        <v>6351</v>
      </c>
      <c r="I692">
        <v>15</v>
      </c>
      <c r="J692" s="5">
        <v>986</v>
      </c>
    </row>
    <row r="693" spans="1:10" x14ac:dyDescent="0.35">
      <c r="A693" s="1">
        <v>44955</v>
      </c>
      <c r="B693" s="2">
        <f>YEAR(Sales_Dataset[[#This Row],[Order Date]])</f>
        <v>2023</v>
      </c>
      <c r="C693" s="2">
        <f>MONTH(Sales_Dataset[[#This Row],[Order Date]])</f>
        <v>1</v>
      </c>
      <c r="D693" t="s">
        <v>164</v>
      </c>
      <c r="E693" t="s">
        <v>36</v>
      </c>
      <c r="F693" t="s">
        <v>24</v>
      </c>
      <c r="G693" t="s">
        <v>25</v>
      </c>
      <c r="H693" s="5">
        <v>7421</v>
      </c>
      <c r="I693">
        <v>10</v>
      </c>
      <c r="J693" s="5">
        <v>958</v>
      </c>
    </row>
    <row r="694" spans="1:10" x14ac:dyDescent="0.35">
      <c r="A694" s="1">
        <v>44959</v>
      </c>
      <c r="B694" s="2">
        <f>YEAR(Sales_Dataset[[#This Row],[Order Date]])</f>
        <v>2023</v>
      </c>
      <c r="C694" s="2">
        <f>MONTH(Sales_Dataset[[#This Row],[Order Date]])</f>
        <v>2</v>
      </c>
      <c r="D694" t="s">
        <v>727</v>
      </c>
      <c r="E694" t="s">
        <v>9</v>
      </c>
      <c r="F694" t="s">
        <v>10</v>
      </c>
      <c r="G694" t="s">
        <v>41</v>
      </c>
      <c r="H694" s="5">
        <v>4918</v>
      </c>
      <c r="I694">
        <v>7</v>
      </c>
      <c r="J694" s="5">
        <v>1485</v>
      </c>
    </row>
    <row r="695" spans="1:10" x14ac:dyDescent="0.35">
      <c r="A695" s="1">
        <v>44960</v>
      </c>
      <c r="B695" s="2">
        <f>YEAR(Sales_Dataset[[#This Row],[Order Date]])</f>
        <v>2023</v>
      </c>
      <c r="C695" s="2">
        <f>MONTH(Sales_Dataset[[#This Row],[Order Date]])</f>
        <v>2</v>
      </c>
      <c r="D695" t="s">
        <v>44</v>
      </c>
      <c r="E695" t="s">
        <v>22</v>
      </c>
      <c r="F695" t="s">
        <v>18</v>
      </c>
      <c r="G695" t="s">
        <v>39</v>
      </c>
      <c r="H695" s="5">
        <v>5219</v>
      </c>
      <c r="I695">
        <v>20</v>
      </c>
      <c r="J695" s="5">
        <v>1180</v>
      </c>
    </row>
    <row r="696" spans="1:10" x14ac:dyDescent="0.35">
      <c r="A696" s="1">
        <v>44960</v>
      </c>
      <c r="B696" s="2">
        <f>YEAR(Sales_Dataset[[#This Row],[Order Date]])</f>
        <v>2023</v>
      </c>
      <c r="C696" s="2">
        <f>MONTH(Sales_Dataset[[#This Row],[Order Date]])</f>
        <v>2</v>
      </c>
      <c r="D696" t="s">
        <v>587</v>
      </c>
      <c r="E696" t="s">
        <v>47</v>
      </c>
      <c r="F696" t="s">
        <v>24</v>
      </c>
      <c r="G696" t="s">
        <v>27</v>
      </c>
      <c r="H696" s="5">
        <v>5317</v>
      </c>
      <c r="I696">
        <v>18</v>
      </c>
      <c r="J696" s="5">
        <v>1345</v>
      </c>
    </row>
    <row r="697" spans="1:10" x14ac:dyDescent="0.35">
      <c r="A697" s="1">
        <v>44960</v>
      </c>
      <c r="B697" s="2">
        <f>YEAR(Sales_Dataset[[#This Row],[Order Date]])</f>
        <v>2023</v>
      </c>
      <c r="C697" s="2">
        <f>MONTH(Sales_Dataset[[#This Row],[Order Date]])</f>
        <v>2</v>
      </c>
      <c r="D697" t="s">
        <v>587</v>
      </c>
      <c r="E697" t="s">
        <v>47</v>
      </c>
      <c r="F697" t="s">
        <v>24</v>
      </c>
      <c r="G697" t="s">
        <v>25</v>
      </c>
      <c r="H697" s="5">
        <v>6304</v>
      </c>
      <c r="I697">
        <v>14</v>
      </c>
      <c r="J697" s="5">
        <v>766</v>
      </c>
    </row>
    <row r="698" spans="1:10" x14ac:dyDescent="0.35">
      <c r="A698" s="1">
        <v>44974</v>
      </c>
      <c r="B698" s="2">
        <f>YEAR(Sales_Dataset[[#This Row],[Order Date]])</f>
        <v>2023</v>
      </c>
      <c r="C698" s="2">
        <f>MONTH(Sales_Dataset[[#This Row],[Order Date]])</f>
        <v>2</v>
      </c>
      <c r="D698" t="s">
        <v>648</v>
      </c>
      <c r="E698" t="s">
        <v>13</v>
      </c>
      <c r="F698" t="s">
        <v>18</v>
      </c>
      <c r="G698" t="s">
        <v>30</v>
      </c>
      <c r="H698" s="5">
        <v>3747</v>
      </c>
      <c r="I698">
        <v>5</v>
      </c>
      <c r="J698" s="5">
        <v>410</v>
      </c>
    </row>
    <row r="699" spans="1:10" x14ac:dyDescent="0.35">
      <c r="A699" s="1">
        <v>44974</v>
      </c>
      <c r="B699" s="2">
        <f>YEAR(Sales_Dataset[[#This Row],[Order Date]])</f>
        <v>2023</v>
      </c>
      <c r="C699" s="2">
        <f>MONTH(Sales_Dataset[[#This Row],[Order Date]])</f>
        <v>2</v>
      </c>
      <c r="D699" t="s">
        <v>648</v>
      </c>
      <c r="E699" t="s">
        <v>13</v>
      </c>
      <c r="F699" t="s">
        <v>18</v>
      </c>
      <c r="G699" t="s">
        <v>39</v>
      </c>
      <c r="H699" s="5">
        <v>3194</v>
      </c>
      <c r="I699">
        <v>4</v>
      </c>
      <c r="J699" s="5">
        <v>534</v>
      </c>
    </row>
    <row r="700" spans="1:10" x14ac:dyDescent="0.35">
      <c r="A700" s="1">
        <v>44980</v>
      </c>
      <c r="B700" s="2">
        <f>YEAR(Sales_Dataset[[#This Row],[Order Date]])</f>
        <v>2023</v>
      </c>
      <c r="C700" s="2">
        <f>MONTH(Sales_Dataset[[#This Row],[Order Date]])</f>
        <v>2</v>
      </c>
      <c r="D700" t="s">
        <v>384</v>
      </c>
      <c r="E700" t="s">
        <v>47</v>
      </c>
      <c r="F700" t="s">
        <v>24</v>
      </c>
      <c r="G700" t="s">
        <v>27</v>
      </c>
      <c r="H700" s="5">
        <v>1133</v>
      </c>
      <c r="I700">
        <v>17</v>
      </c>
      <c r="J700" s="5">
        <v>73</v>
      </c>
    </row>
    <row r="701" spans="1:10" x14ac:dyDescent="0.35">
      <c r="A701" s="1">
        <v>44980</v>
      </c>
      <c r="B701" s="2">
        <f>YEAR(Sales_Dataset[[#This Row],[Order Date]])</f>
        <v>2023</v>
      </c>
      <c r="C701" s="2">
        <f>MONTH(Sales_Dataset[[#This Row],[Order Date]])</f>
        <v>2</v>
      </c>
      <c r="D701" t="s">
        <v>384</v>
      </c>
      <c r="E701" t="s">
        <v>47</v>
      </c>
      <c r="F701" t="s">
        <v>24</v>
      </c>
      <c r="G701" t="s">
        <v>51</v>
      </c>
      <c r="H701" s="5">
        <v>6248</v>
      </c>
      <c r="I701">
        <v>19</v>
      </c>
      <c r="J701" s="5">
        <v>1168</v>
      </c>
    </row>
    <row r="702" spans="1:10" x14ac:dyDescent="0.35">
      <c r="A702" s="1">
        <v>44985</v>
      </c>
      <c r="B702" s="2">
        <f>YEAR(Sales_Dataset[[#This Row],[Order Date]])</f>
        <v>2023</v>
      </c>
      <c r="C702" s="2">
        <f>MONTH(Sales_Dataset[[#This Row],[Order Date]])</f>
        <v>2</v>
      </c>
      <c r="D702" t="s">
        <v>108</v>
      </c>
      <c r="E702" t="s">
        <v>13</v>
      </c>
      <c r="F702" t="s">
        <v>24</v>
      </c>
      <c r="G702" t="s">
        <v>27</v>
      </c>
      <c r="H702" s="5">
        <v>3428</v>
      </c>
      <c r="I702">
        <v>1</v>
      </c>
      <c r="J702" s="5">
        <v>350</v>
      </c>
    </row>
    <row r="703" spans="1:10" x14ac:dyDescent="0.35">
      <c r="A703" s="1">
        <v>44985</v>
      </c>
      <c r="B703" s="2">
        <f>YEAR(Sales_Dataset[[#This Row],[Order Date]])</f>
        <v>2023</v>
      </c>
      <c r="C703" s="2">
        <f>MONTH(Sales_Dataset[[#This Row],[Order Date]])</f>
        <v>2</v>
      </c>
      <c r="D703" t="s">
        <v>108</v>
      </c>
      <c r="E703" t="s">
        <v>13</v>
      </c>
      <c r="F703" t="s">
        <v>18</v>
      </c>
      <c r="G703" t="s">
        <v>39</v>
      </c>
      <c r="H703" s="5">
        <v>7223</v>
      </c>
      <c r="I703">
        <v>12</v>
      </c>
      <c r="J703" s="5">
        <v>2433</v>
      </c>
    </row>
    <row r="704" spans="1:10" x14ac:dyDescent="0.35">
      <c r="A704" s="1">
        <v>44985</v>
      </c>
      <c r="B704" s="2">
        <f>YEAR(Sales_Dataset[[#This Row],[Order Date]])</f>
        <v>2023</v>
      </c>
      <c r="C704" s="2">
        <f>MONTH(Sales_Dataset[[#This Row],[Order Date]])</f>
        <v>2</v>
      </c>
      <c r="D704" t="s">
        <v>108</v>
      </c>
      <c r="E704" t="s">
        <v>13</v>
      </c>
      <c r="F704" t="s">
        <v>18</v>
      </c>
      <c r="G704" t="s">
        <v>19</v>
      </c>
      <c r="H704" s="5">
        <v>3731</v>
      </c>
      <c r="I704">
        <v>1</v>
      </c>
      <c r="J704" s="5">
        <v>647</v>
      </c>
    </row>
    <row r="705" spans="1:10" x14ac:dyDescent="0.35">
      <c r="A705" s="1">
        <v>44985</v>
      </c>
      <c r="B705" s="2">
        <f>YEAR(Sales_Dataset[[#This Row],[Order Date]])</f>
        <v>2023</v>
      </c>
      <c r="C705" s="2">
        <f>MONTH(Sales_Dataset[[#This Row],[Order Date]])</f>
        <v>2</v>
      </c>
      <c r="D705" t="s">
        <v>419</v>
      </c>
      <c r="E705" t="s">
        <v>15</v>
      </c>
      <c r="F705" t="s">
        <v>18</v>
      </c>
      <c r="G705" t="s">
        <v>39</v>
      </c>
      <c r="H705" s="5">
        <v>1732</v>
      </c>
      <c r="I705">
        <v>7</v>
      </c>
      <c r="J705" s="5">
        <v>766</v>
      </c>
    </row>
    <row r="706" spans="1:10" x14ac:dyDescent="0.35">
      <c r="A706" s="1">
        <v>44985</v>
      </c>
      <c r="B706" s="2">
        <f>YEAR(Sales_Dataset[[#This Row],[Order Date]])</f>
        <v>2023</v>
      </c>
      <c r="C706" s="2">
        <f>MONTH(Sales_Dataset[[#This Row],[Order Date]])</f>
        <v>2</v>
      </c>
      <c r="D706" t="s">
        <v>419</v>
      </c>
      <c r="E706" t="s">
        <v>15</v>
      </c>
      <c r="F706" t="s">
        <v>18</v>
      </c>
      <c r="G706" t="s">
        <v>33</v>
      </c>
      <c r="H706" s="5">
        <v>8788</v>
      </c>
      <c r="I706">
        <v>19</v>
      </c>
      <c r="J706" s="5">
        <v>3944</v>
      </c>
    </row>
    <row r="707" spans="1:10" x14ac:dyDescent="0.35">
      <c r="A707" s="1">
        <v>44986</v>
      </c>
      <c r="B707" s="2">
        <f>YEAR(Sales_Dataset[[#This Row],[Order Date]])</f>
        <v>2023</v>
      </c>
      <c r="C707" s="2">
        <f>MONTH(Sales_Dataset[[#This Row],[Order Date]])</f>
        <v>3</v>
      </c>
      <c r="D707" t="s">
        <v>253</v>
      </c>
      <c r="E707" t="s">
        <v>47</v>
      </c>
      <c r="F707" t="s">
        <v>10</v>
      </c>
      <c r="G707" t="s">
        <v>23</v>
      </c>
      <c r="H707" s="5">
        <v>1676</v>
      </c>
      <c r="I707">
        <v>14</v>
      </c>
      <c r="J707" s="5">
        <v>330</v>
      </c>
    </row>
    <row r="708" spans="1:10" x14ac:dyDescent="0.35">
      <c r="A708" s="1">
        <v>44986</v>
      </c>
      <c r="B708" s="2">
        <f>YEAR(Sales_Dataset[[#This Row],[Order Date]])</f>
        <v>2023</v>
      </c>
      <c r="C708" s="2">
        <f>MONTH(Sales_Dataset[[#This Row],[Order Date]])</f>
        <v>3</v>
      </c>
      <c r="D708" t="s">
        <v>253</v>
      </c>
      <c r="E708" t="s">
        <v>47</v>
      </c>
      <c r="F708" t="s">
        <v>24</v>
      </c>
      <c r="G708" t="s">
        <v>51</v>
      </c>
      <c r="H708" s="5">
        <v>3927</v>
      </c>
      <c r="I708">
        <v>12</v>
      </c>
      <c r="J708" s="5">
        <v>1133</v>
      </c>
    </row>
    <row r="709" spans="1:10" x14ac:dyDescent="0.35">
      <c r="A709" s="1">
        <v>44986</v>
      </c>
      <c r="B709" s="2">
        <f>YEAR(Sales_Dataset[[#This Row],[Order Date]])</f>
        <v>2023</v>
      </c>
      <c r="C709" s="2">
        <f>MONTH(Sales_Dataset[[#This Row],[Order Date]])</f>
        <v>3</v>
      </c>
      <c r="D709" t="s">
        <v>253</v>
      </c>
      <c r="E709" t="s">
        <v>47</v>
      </c>
      <c r="F709" t="s">
        <v>10</v>
      </c>
      <c r="G709" t="s">
        <v>41</v>
      </c>
      <c r="H709" s="5">
        <v>2776</v>
      </c>
      <c r="I709">
        <v>9</v>
      </c>
      <c r="J709" s="5">
        <v>887</v>
      </c>
    </row>
    <row r="710" spans="1:10" x14ac:dyDescent="0.35">
      <c r="A710" s="1">
        <v>44989</v>
      </c>
      <c r="B710" s="2">
        <f>YEAR(Sales_Dataset[[#This Row],[Order Date]])</f>
        <v>2023</v>
      </c>
      <c r="C710" s="2">
        <f>MONTH(Sales_Dataset[[#This Row],[Order Date]])</f>
        <v>3</v>
      </c>
      <c r="D710" t="s">
        <v>117</v>
      </c>
      <c r="E710" t="s">
        <v>47</v>
      </c>
      <c r="F710" t="s">
        <v>24</v>
      </c>
      <c r="G710" t="s">
        <v>31</v>
      </c>
      <c r="H710" s="5">
        <v>770</v>
      </c>
      <c r="I710">
        <v>11</v>
      </c>
      <c r="J710" s="5">
        <v>241</v>
      </c>
    </row>
    <row r="711" spans="1:10" x14ac:dyDescent="0.35">
      <c r="A711" s="1">
        <v>44994</v>
      </c>
      <c r="B711" s="2">
        <f>YEAR(Sales_Dataset[[#This Row],[Order Date]])</f>
        <v>2023</v>
      </c>
      <c r="C711" s="2">
        <f>MONTH(Sales_Dataset[[#This Row],[Order Date]])</f>
        <v>3</v>
      </c>
      <c r="D711" t="s">
        <v>696</v>
      </c>
      <c r="E711" t="s">
        <v>9</v>
      </c>
      <c r="F711" t="s">
        <v>10</v>
      </c>
      <c r="G711" t="s">
        <v>41</v>
      </c>
      <c r="H711" s="5">
        <v>5427</v>
      </c>
      <c r="I711">
        <v>3</v>
      </c>
      <c r="J711" s="5">
        <v>728</v>
      </c>
    </row>
    <row r="712" spans="1:10" x14ac:dyDescent="0.35">
      <c r="A712" s="1">
        <v>44995</v>
      </c>
      <c r="B712" s="2">
        <f>YEAR(Sales_Dataset[[#This Row],[Order Date]])</f>
        <v>2023</v>
      </c>
      <c r="C712" s="2">
        <f>MONTH(Sales_Dataset[[#This Row],[Order Date]])</f>
        <v>3</v>
      </c>
      <c r="D712" t="s">
        <v>423</v>
      </c>
      <c r="E712" t="s">
        <v>36</v>
      </c>
      <c r="F712" t="s">
        <v>10</v>
      </c>
      <c r="G712" t="s">
        <v>41</v>
      </c>
      <c r="H712" s="5">
        <v>7122</v>
      </c>
      <c r="I712">
        <v>6</v>
      </c>
      <c r="J712" s="5">
        <v>1836</v>
      </c>
    </row>
    <row r="713" spans="1:10" x14ac:dyDescent="0.35">
      <c r="A713" s="1">
        <v>44995</v>
      </c>
      <c r="B713" s="2">
        <f>YEAR(Sales_Dataset[[#This Row],[Order Date]])</f>
        <v>2023</v>
      </c>
      <c r="C713" s="2">
        <f>MONTH(Sales_Dataset[[#This Row],[Order Date]])</f>
        <v>3</v>
      </c>
      <c r="D713" t="s">
        <v>423</v>
      </c>
      <c r="E713" t="s">
        <v>36</v>
      </c>
      <c r="F713" t="s">
        <v>18</v>
      </c>
      <c r="G713" t="s">
        <v>30</v>
      </c>
      <c r="H713" s="5">
        <v>7327</v>
      </c>
      <c r="I713">
        <v>15</v>
      </c>
      <c r="J713" s="5">
        <v>2596</v>
      </c>
    </row>
    <row r="714" spans="1:10" x14ac:dyDescent="0.35">
      <c r="A714" s="1">
        <v>44995</v>
      </c>
      <c r="B714" s="2">
        <f>YEAR(Sales_Dataset[[#This Row],[Order Date]])</f>
        <v>2023</v>
      </c>
      <c r="C714" s="2">
        <f>MONTH(Sales_Dataset[[#This Row],[Order Date]])</f>
        <v>3</v>
      </c>
      <c r="D714" t="s">
        <v>779</v>
      </c>
      <c r="E714" t="s">
        <v>36</v>
      </c>
      <c r="F714" t="s">
        <v>10</v>
      </c>
      <c r="G714" t="s">
        <v>11</v>
      </c>
      <c r="H714" s="5">
        <v>9952</v>
      </c>
      <c r="I714">
        <v>15</v>
      </c>
      <c r="J714" s="5">
        <v>3301</v>
      </c>
    </row>
    <row r="715" spans="1:10" x14ac:dyDescent="0.35">
      <c r="A715" s="1">
        <v>44999</v>
      </c>
      <c r="B715" s="2">
        <f>YEAR(Sales_Dataset[[#This Row],[Order Date]])</f>
        <v>2023</v>
      </c>
      <c r="C715" s="2">
        <f>MONTH(Sales_Dataset[[#This Row],[Order Date]])</f>
        <v>3</v>
      </c>
      <c r="D715" t="s">
        <v>569</v>
      </c>
      <c r="E715" t="s">
        <v>36</v>
      </c>
      <c r="F715" t="s">
        <v>18</v>
      </c>
      <c r="G715" t="s">
        <v>19</v>
      </c>
      <c r="H715" s="5">
        <v>6147</v>
      </c>
      <c r="I715">
        <v>6</v>
      </c>
      <c r="J715" s="5">
        <v>2526</v>
      </c>
    </row>
    <row r="716" spans="1:10" x14ac:dyDescent="0.35">
      <c r="A716" s="1">
        <v>45001</v>
      </c>
      <c r="B716" s="2">
        <f>YEAR(Sales_Dataset[[#This Row],[Order Date]])</f>
        <v>2023</v>
      </c>
      <c r="C716" s="2">
        <f>MONTH(Sales_Dataset[[#This Row],[Order Date]])</f>
        <v>3</v>
      </c>
      <c r="D716" t="s">
        <v>782</v>
      </c>
      <c r="E716" t="s">
        <v>13</v>
      </c>
      <c r="F716" t="s">
        <v>10</v>
      </c>
      <c r="G716" t="s">
        <v>11</v>
      </c>
      <c r="H716" s="5">
        <v>3560</v>
      </c>
      <c r="I716">
        <v>15</v>
      </c>
      <c r="J716" s="5">
        <v>1335</v>
      </c>
    </row>
    <row r="717" spans="1:10" x14ac:dyDescent="0.35">
      <c r="A717" s="1">
        <v>45003</v>
      </c>
      <c r="B717" s="2">
        <f>YEAR(Sales_Dataset[[#This Row],[Order Date]])</f>
        <v>2023</v>
      </c>
      <c r="C717" s="2">
        <f>MONTH(Sales_Dataset[[#This Row],[Order Date]])</f>
        <v>3</v>
      </c>
      <c r="D717" t="s">
        <v>314</v>
      </c>
      <c r="E717" t="s">
        <v>9</v>
      </c>
      <c r="F717" t="s">
        <v>10</v>
      </c>
      <c r="G717" t="s">
        <v>16</v>
      </c>
      <c r="H717" s="5">
        <v>6385</v>
      </c>
      <c r="I717">
        <v>11</v>
      </c>
      <c r="J717" s="5">
        <v>2656</v>
      </c>
    </row>
    <row r="718" spans="1:10" x14ac:dyDescent="0.35">
      <c r="A718" s="1">
        <v>45006</v>
      </c>
      <c r="B718" s="2">
        <f>YEAR(Sales_Dataset[[#This Row],[Order Date]])</f>
        <v>2023</v>
      </c>
      <c r="C718" s="2">
        <f>MONTH(Sales_Dataset[[#This Row],[Order Date]])</f>
        <v>3</v>
      </c>
      <c r="D718" t="s">
        <v>184</v>
      </c>
      <c r="E718" t="s">
        <v>47</v>
      </c>
      <c r="F718" t="s">
        <v>10</v>
      </c>
      <c r="G718" t="s">
        <v>23</v>
      </c>
      <c r="H718" s="5">
        <v>8200</v>
      </c>
      <c r="I718">
        <v>19</v>
      </c>
      <c r="J718" s="5">
        <v>257</v>
      </c>
    </row>
    <row r="719" spans="1:10" x14ac:dyDescent="0.35">
      <c r="A719" s="1">
        <v>45006</v>
      </c>
      <c r="B719" s="2">
        <f>YEAR(Sales_Dataset[[#This Row],[Order Date]])</f>
        <v>2023</v>
      </c>
      <c r="C719" s="2">
        <f>MONTH(Sales_Dataset[[#This Row],[Order Date]])</f>
        <v>3</v>
      </c>
      <c r="D719" t="s">
        <v>184</v>
      </c>
      <c r="E719" t="s">
        <v>47</v>
      </c>
      <c r="F719" t="s">
        <v>24</v>
      </c>
      <c r="G719" t="s">
        <v>31</v>
      </c>
      <c r="H719" s="5">
        <v>9316</v>
      </c>
      <c r="I719">
        <v>13</v>
      </c>
      <c r="J719" s="5">
        <v>3003</v>
      </c>
    </row>
    <row r="720" spans="1:10" x14ac:dyDescent="0.35">
      <c r="A720" s="1">
        <v>45006</v>
      </c>
      <c r="B720" s="2">
        <f>YEAR(Sales_Dataset[[#This Row],[Order Date]])</f>
        <v>2023</v>
      </c>
      <c r="C720" s="2">
        <f>MONTH(Sales_Dataset[[#This Row],[Order Date]])</f>
        <v>3</v>
      </c>
      <c r="D720" t="s">
        <v>184</v>
      </c>
      <c r="E720" t="s">
        <v>47</v>
      </c>
      <c r="F720" t="s">
        <v>10</v>
      </c>
      <c r="G720" t="s">
        <v>11</v>
      </c>
      <c r="H720" s="5">
        <v>6379</v>
      </c>
      <c r="I720">
        <v>15</v>
      </c>
      <c r="J720" s="5">
        <v>3128</v>
      </c>
    </row>
    <row r="721" spans="1:10" x14ac:dyDescent="0.35">
      <c r="A721" s="1">
        <v>45006</v>
      </c>
      <c r="B721" s="2">
        <f>YEAR(Sales_Dataset[[#This Row],[Order Date]])</f>
        <v>2023</v>
      </c>
      <c r="C721" s="2">
        <f>MONTH(Sales_Dataset[[#This Row],[Order Date]])</f>
        <v>3</v>
      </c>
      <c r="D721" t="s">
        <v>502</v>
      </c>
      <c r="E721" t="s">
        <v>36</v>
      </c>
      <c r="F721" t="s">
        <v>18</v>
      </c>
      <c r="G721" t="s">
        <v>39</v>
      </c>
      <c r="H721" s="5">
        <v>8526</v>
      </c>
      <c r="I721">
        <v>4</v>
      </c>
      <c r="J721" s="5">
        <v>1704</v>
      </c>
    </row>
    <row r="722" spans="1:10" x14ac:dyDescent="0.35">
      <c r="A722" s="1">
        <v>45006</v>
      </c>
      <c r="B722" s="2">
        <f>YEAR(Sales_Dataset[[#This Row],[Order Date]])</f>
        <v>2023</v>
      </c>
      <c r="C722" s="2">
        <f>MONTH(Sales_Dataset[[#This Row],[Order Date]])</f>
        <v>3</v>
      </c>
      <c r="D722" t="s">
        <v>552</v>
      </c>
      <c r="E722" t="s">
        <v>22</v>
      </c>
      <c r="F722" t="s">
        <v>10</v>
      </c>
      <c r="G722" t="s">
        <v>16</v>
      </c>
      <c r="H722" s="5">
        <v>9869</v>
      </c>
      <c r="I722">
        <v>12</v>
      </c>
      <c r="J722" s="5">
        <v>4299</v>
      </c>
    </row>
    <row r="723" spans="1:10" x14ac:dyDescent="0.35">
      <c r="A723" s="1">
        <v>45006</v>
      </c>
      <c r="B723" s="2">
        <f>YEAR(Sales_Dataset[[#This Row],[Order Date]])</f>
        <v>2023</v>
      </c>
      <c r="C723" s="2">
        <f>MONTH(Sales_Dataset[[#This Row],[Order Date]])</f>
        <v>3</v>
      </c>
      <c r="D723" t="s">
        <v>813</v>
      </c>
      <c r="E723" t="s">
        <v>15</v>
      </c>
      <c r="F723" t="s">
        <v>10</v>
      </c>
      <c r="G723" t="s">
        <v>41</v>
      </c>
      <c r="H723" s="5">
        <v>8490</v>
      </c>
      <c r="I723">
        <v>3</v>
      </c>
      <c r="J723" s="5">
        <v>3485</v>
      </c>
    </row>
    <row r="724" spans="1:10" x14ac:dyDescent="0.35">
      <c r="A724" s="1">
        <v>45017</v>
      </c>
      <c r="B724" s="2">
        <f>YEAR(Sales_Dataset[[#This Row],[Order Date]])</f>
        <v>2023</v>
      </c>
      <c r="C724" s="2">
        <f>MONTH(Sales_Dataset[[#This Row],[Order Date]])</f>
        <v>4</v>
      </c>
      <c r="D724" t="s">
        <v>535</v>
      </c>
      <c r="E724" t="s">
        <v>22</v>
      </c>
      <c r="F724" t="s">
        <v>24</v>
      </c>
      <c r="G724" t="s">
        <v>27</v>
      </c>
      <c r="H724" s="5">
        <v>4037</v>
      </c>
      <c r="I724">
        <v>15</v>
      </c>
      <c r="J724" s="5">
        <v>1494</v>
      </c>
    </row>
    <row r="725" spans="1:10" x14ac:dyDescent="0.35">
      <c r="A725" s="1">
        <v>45018</v>
      </c>
      <c r="B725" s="2">
        <f>YEAR(Sales_Dataset[[#This Row],[Order Date]])</f>
        <v>2023</v>
      </c>
      <c r="C725" s="2">
        <f>MONTH(Sales_Dataset[[#This Row],[Order Date]])</f>
        <v>4</v>
      </c>
      <c r="D725" t="s">
        <v>485</v>
      </c>
      <c r="E725" t="s">
        <v>22</v>
      </c>
      <c r="F725" t="s">
        <v>18</v>
      </c>
      <c r="G725" t="s">
        <v>30</v>
      </c>
      <c r="H725" s="5">
        <v>4629</v>
      </c>
      <c r="I725">
        <v>16</v>
      </c>
      <c r="J725" s="5">
        <v>1660</v>
      </c>
    </row>
    <row r="726" spans="1:10" x14ac:dyDescent="0.35">
      <c r="A726" s="1">
        <v>45021</v>
      </c>
      <c r="B726" s="2">
        <f>YEAR(Sales_Dataset[[#This Row],[Order Date]])</f>
        <v>2023</v>
      </c>
      <c r="C726" s="2">
        <f>MONTH(Sales_Dataset[[#This Row],[Order Date]])</f>
        <v>4</v>
      </c>
      <c r="D726" t="s">
        <v>653</v>
      </c>
      <c r="E726" t="s">
        <v>13</v>
      </c>
      <c r="F726" t="s">
        <v>24</v>
      </c>
      <c r="G726" t="s">
        <v>25</v>
      </c>
      <c r="H726" s="5">
        <v>6089</v>
      </c>
      <c r="I726">
        <v>19</v>
      </c>
      <c r="J726" s="5">
        <v>139</v>
      </c>
    </row>
    <row r="727" spans="1:10" x14ac:dyDescent="0.35">
      <c r="A727" s="1">
        <v>45021</v>
      </c>
      <c r="B727" s="2">
        <f>YEAR(Sales_Dataset[[#This Row],[Order Date]])</f>
        <v>2023</v>
      </c>
      <c r="C727" s="2">
        <f>MONTH(Sales_Dataset[[#This Row],[Order Date]])</f>
        <v>4</v>
      </c>
      <c r="D727" t="s">
        <v>653</v>
      </c>
      <c r="E727" t="s">
        <v>13</v>
      </c>
      <c r="F727" t="s">
        <v>24</v>
      </c>
      <c r="G727" t="s">
        <v>25</v>
      </c>
      <c r="H727" s="5">
        <v>2586</v>
      </c>
      <c r="I727">
        <v>16</v>
      </c>
      <c r="J727" s="5">
        <v>800</v>
      </c>
    </row>
    <row r="728" spans="1:10" x14ac:dyDescent="0.35">
      <c r="A728" s="1">
        <v>45021</v>
      </c>
      <c r="B728" s="2">
        <f>YEAR(Sales_Dataset[[#This Row],[Order Date]])</f>
        <v>2023</v>
      </c>
      <c r="C728" s="2">
        <f>MONTH(Sales_Dataset[[#This Row],[Order Date]])</f>
        <v>4</v>
      </c>
      <c r="D728" t="s">
        <v>653</v>
      </c>
      <c r="E728" t="s">
        <v>13</v>
      </c>
      <c r="F728" t="s">
        <v>18</v>
      </c>
      <c r="G728" t="s">
        <v>33</v>
      </c>
      <c r="H728" s="5">
        <v>3757</v>
      </c>
      <c r="I728">
        <v>9</v>
      </c>
      <c r="J728" s="5">
        <v>1626</v>
      </c>
    </row>
    <row r="729" spans="1:10" x14ac:dyDescent="0.35">
      <c r="A729" s="1">
        <v>45022</v>
      </c>
      <c r="B729" s="2">
        <f>YEAR(Sales_Dataset[[#This Row],[Order Date]])</f>
        <v>2023</v>
      </c>
      <c r="C729" s="2">
        <f>MONTH(Sales_Dataset[[#This Row],[Order Date]])</f>
        <v>4</v>
      </c>
      <c r="D729" t="s">
        <v>66</v>
      </c>
      <c r="E729" t="s">
        <v>22</v>
      </c>
      <c r="F729" t="s">
        <v>18</v>
      </c>
      <c r="G729" t="s">
        <v>33</v>
      </c>
      <c r="H729" s="5">
        <v>953</v>
      </c>
      <c r="I729">
        <v>2</v>
      </c>
      <c r="J729" s="5">
        <v>93</v>
      </c>
    </row>
    <row r="730" spans="1:10" x14ac:dyDescent="0.35">
      <c r="A730" s="1">
        <v>45022</v>
      </c>
      <c r="B730" s="2">
        <f>YEAR(Sales_Dataset[[#This Row],[Order Date]])</f>
        <v>2023</v>
      </c>
      <c r="C730" s="2">
        <f>MONTH(Sales_Dataset[[#This Row],[Order Date]])</f>
        <v>4</v>
      </c>
      <c r="D730" t="s">
        <v>66</v>
      </c>
      <c r="E730" t="s">
        <v>22</v>
      </c>
      <c r="F730" t="s">
        <v>24</v>
      </c>
      <c r="G730" t="s">
        <v>31</v>
      </c>
      <c r="H730" s="5">
        <v>7355</v>
      </c>
      <c r="I730">
        <v>3</v>
      </c>
      <c r="J730" s="5">
        <v>1034</v>
      </c>
    </row>
    <row r="731" spans="1:10" x14ac:dyDescent="0.35">
      <c r="A731" s="1">
        <v>45022</v>
      </c>
      <c r="B731" s="2">
        <f>YEAR(Sales_Dataset[[#This Row],[Order Date]])</f>
        <v>2023</v>
      </c>
      <c r="C731" s="2">
        <f>MONTH(Sales_Dataset[[#This Row],[Order Date]])</f>
        <v>4</v>
      </c>
      <c r="D731" t="s">
        <v>66</v>
      </c>
      <c r="E731" t="s">
        <v>22</v>
      </c>
      <c r="F731" t="s">
        <v>10</v>
      </c>
      <c r="G731" t="s">
        <v>41</v>
      </c>
      <c r="H731" s="5">
        <v>1843</v>
      </c>
      <c r="I731">
        <v>3</v>
      </c>
      <c r="J731" s="5">
        <v>248</v>
      </c>
    </row>
    <row r="732" spans="1:10" x14ac:dyDescent="0.35">
      <c r="A732" s="1">
        <v>45022</v>
      </c>
      <c r="B732" s="2">
        <f>YEAR(Sales_Dataset[[#This Row],[Order Date]])</f>
        <v>2023</v>
      </c>
      <c r="C732" s="2">
        <f>MONTH(Sales_Dataset[[#This Row],[Order Date]])</f>
        <v>4</v>
      </c>
      <c r="D732" t="s">
        <v>66</v>
      </c>
      <c r="E732" t="s">
        <v>22</v>
      </c>
      <c r="F732" t="s">
        <v>18</v>
      </c>
      <c r="G732" t="s">
        <v>19</v>
      </c>
      <c r="H732" s="5">
        <v>1603</v>
      </c>
      <c r="I732">
        <v>10</v>
      </c>
      <c r="J732" s="5">
        <v>361</v>
      </c>
    </row>
    <row r="733" spans="1:10" x14ac:dyDescent="0.35">
      <c r="A733" s="1">
        <v>45023</v>
      </c>
      <c r="B733" s="2">
        <f>YEAR(Sales_Dataset[[#This Row],[Order Date]])</f>
        <v>2023</v>
      </c>
      <c r="C733" s="2">
        <f>MONTH(Sales_Dataset[[#This Row],[Order Date]])</f>
        <v>4</v>
      </c>
      <c r="D733" t="s">
        <v>387</v>
      </c>
      <c r="E733" t="s">
        <v>36</v>
      </c>
      <c r="F733" t="s">
        <v>18</v>
      </c>
      <c r="G733" t="s">
        <v>30</v>
      </c>
      <c r="H733" s="5">
        <v>4171</v>
      </c>
      <c r="I733">
        <v>18</v>
      </c>
      <c r="J733" s="5">
        <v>1450</v>
      </c>
    </row>
    <row r="734" spans="1:10" x14ac:dyDescent="0.35">
      <c r="A734" s="1">
        <v>45025</v>
      </c>
      <c r="B734" s="2">
        <f>YEAR(Sales_Dataset[[#This Row],[Order Date]])</f>
        <v>2023</v>
      </c>
      <c r="C734" s="2">
        <f>MONTH(Sales_Dataset[[#This Row],[Order Date]])</f>
        <v>4</v>
      </c>
      <c r="D734" t="s">
        <v>786</v>
      </c>
      <c r="E734" t="s">
        <v>13</v>
      </c>
      <c r="F734" t="s">
        <v>18</v>
      </c>
      <c r="G734" t="s">
        <v>19</v>
      </c>
      <c r="H734" s="5">
        <v>2101</v>
      </c>
      <c r="I734">
        <v>8</v>
      </c>
      <c r="J734" s="5">
        <v>287</v>
      </c>
    </row>
    <row r="735" spans="1:10" x14ac:dyDescent="0.35">
      <c r="A735" s="1">
        <v>45033</v>
      </c>
      <c r="B735" s="2">
        <f>YEAR(Sales_Dataset[[#This Row],[Order Date]])</f>
        <v>2023</v>
      </c>
      <c r="C735" s="2">
        <f>MONTH(Sales_Dataset[[#This Row],[Order Date]])</f>
        <v>4</v>
      </c>
      <c r="D735" t="s">
        <v>134</v>
      </c>
      <c r="E735" t="s">
        <v>13</v>
      </c>
      <c r="F735" t="s">
        <v>10</v>
      </c>
      <c r="G735" t="s">
        <v>41</v>
      </c>
      <c r="H735" s="5">
        <v>8346</v>
      </c>
      <c r="I735">
        <v>1</v>
      </c>
      <c r="J735" s="5">
        <v>1176</v>
      </c>
    </row>
    <row r="736" spans="1:10" x14ac:dyDescent="0.35">
      <c r="A736" s="1">
        <v>45033</v>
      </c>
      <c r="B736" s="2">
        <f>YEAR(Sales_Dataset[[#This Row],[Order Date]])</f>
        <v>2023</v>
      </c>
      <c r="C736" s="2">
        <f>MONTH(Sales_Dataset[[#This Row],[Order Date]])</f>
        <v>4</v>
      </c>
      <c r="D736" t="s">
        <v>134</v>
      </c>
      <c r="E736" t="s">
        <v>13</v>
      </c>
      <c r="F736" t="s">
        <v>24</v>
      </c>
      <c r="G736" t="s">
        <v>25</v>
      </c>
      <c r="H736" s="5">
        <v>6218</v>
      </c>
      <c r="I736">
        <v>5</v>
      </c>
      <c r="J736" s="5">
        <v>1125</v>
      </c>
    </row>
    <row r="737" spans="1:10" x14ac:dyDescent="0.35">
      <c r="A737" s="1">
        <v>45033</v>
      </c>
      <c r="B737" s="2">
        <f>YEAR(Sales_Dataset[[#This Row],[Order Date]])</f>
        <v>2023</v>
      </c>
      <c r="C737" s="2">
        <f>MONTH(Sales_Dataset[[#This Row],[Order Date]])</f>
        <v>4</v>
      </c>
      <c r="D737" t="s">
        <v>134</v>
      </c>
      <c r="E737" t="s">
        <v>13</v>
      </c>
      <c r="F737" t="s">
        <v>10</v>
      </c>
      <c r="G737" t="s">
        <v>16</v>
      </c>
      <c r="H737" s="5">
        <v>5167</v>
      </c>
      <c r="I737">
        <v>14</v>
      </c>
      <c r="J737" s="5">
        <v>253</v>
      </c>
    </row>
    <row r="738" spans="1:10" x14ac:dyDescent="0.35">
      <c r="A738" s="1">
        <v>45033</v>
      </c>
      <c r="B738" s="2">
        <f>YEAR(Sales_Dataset[[#This Row],[Order Date]])</f>
        <v>2023</v>
      </c>
      <c r="C738" s="2">
        <f>MONTH(Sales_Dataset[[#This Row],[Order Date]])</f>
        <v>4</v>
      </c>
      <c r="D738" t="s">
        <v>134</v>
      </c>
      <c r="E738" t="s">
        <v>13</v>
      </c>
      <c r="F738" t="s">
        <v>24</v>
      </c>
      <c r="G738" t="s">
        <v>31</v>
      </c>
      <c r="H738" s="5">
        <v>2799</v>
      </c>
      <c r="I738">
        <v>5</v>
      </c>
      <c r="J738" s="5">
        <v>1239</v>
      </c>
    </row>
    <row r="739" spans="1:10" x14ac:dyDescent="0.35">
      <c r="A739" s="1">
        <v>45033</v>
      </c>
      <c r="B739" s="2">
        <f>YEAR(Sales_Dataset[[#This Row],[Order Date]])</f>
        <v>2023</v>
      </c>
      <c r="C739" s="2">
        <f>MONTH(Sales_Dataset[[#This Row],[Order Date]])</f>
        <v>4</v>
      </c>
      <c r="D739" t="s">
        <v>445</v>
      </c>
      <c r="E739" t="s">
        <v>36</v>
      </c>
      <c r="F739" t="s">
        <v>24</v>
      </c>
      <c r="G739" t="s">
        <v>51</v>
      </c>
      <c r="H739" s="5">
        <v>4007</v>
      </c>
      <c r="I739">
        <v>13</v>
      </c>
      <c r="J739" s="5">
        <v>201</v>
      </c>
    </row>
    <row r="740" spans="1:10" x14ac:dyDescent="0.35">
      <c r="A740" s="1">
        <v>45033</v>
      </c>
      <c r="B740" s="2">
        <f>YEAR(Sales_Dataset[[#This Row],[Order Date]])</f>
        <v>2023</v>
      </c>
      <c r="C740" s="2">
        <f>MONTH(Sales_Dataset[[#This Row],[Order Date]])</f>
        <v>4</v>
      </c>
      <c r="D740" t="s">
        <v>754</v>
      </c>
      <c r="E740" t="s">
        <v>9</v>
      </c>
      <c r="F740" t="s">
        <v>10</v>
      </c>
      <c r="G740" t="s">
        <v>16</v>
      </c>
      <c r="H740" s="5">
        <v>3333</v>
      </c>
      <c r="I740">
        <v>18</v>
      </c>
      <c r="J740" s="5">
        <v>700</v>
      </c>
    </row>
    <row r="741" spans="1:10" x14ac:dyDescent="0.35">
      <c r="A741" s="1">
        <v>45035</v>
      </c>
      <c r="B741" s="2">
        <f>YEAR(Sales_Dataset[[#This Row],[Order Date]])</f>
        <v>2023</v>
      </c>
      <c r="C741" s="2">
        <f>MONTH(Sales_Dataset[[#This Row],[Order Date]])</f>
        <v>4</v>
      </c>
      <c r="D741" t="s">
        <v>429</v>
      </c>
      <c r="E741" t="s">
        <v>9</v>
      </c>
      <c r="F741" t="s">
        <v>10</v>
      </c>
      <c r="G741" t="s">
        <v>11</v>
      </c>
      <c r="H741" s="5">
        <v>9438</v>
      </c>
      <c r="I741">
        <v>4</v>
      </c>
      <c r="J741" s="5">
        <v>1801</v>
      </c>
    </row>
    <row r="742" spans="1:10" x14ac:dyDescent="0.35">
      <c r="A742" s="1">
        <v>45040</v>
      </c>
      <c r="B742" s="2">
        <f>YEAR(Sales_Dataset[[#This Row],[Order Date]])</f>
        <v>2023</v>
      </c>
      <c r="C742" s="2">
        <f>MONTH(Sales_Dataset[[#This Row],[Order Date]])</f>
        <v>4</v>
      </c>
      <c r="D742" t="s">
        <v>95</v>
      </c>
      <c r="E742" t="s">
        <v>47</v>
      </c>
      <c r="F742" t="s">
        <v>24</v>
      </c>
      <c r="G742" t="s">
        <v>51</v>
      </c>
      <c r="H742" s="5">
        <v>2478</v>
      </c>
      <c r="I742">
        <v>12</v>
      </c>
      <c r="J742" s="5">
        <v>92</v>
      </c>
    </row>
    <row r="743" spans="1:10" x14ac:dyDescent="0.35">
      <c r="A743" s="1">
        <v>45041</v>
      </c>
      <c r="B743" s="2">
        <f>YEAR(Sales_Dataset[[#This Row],[Order Date]])</f>
        <v>2023</v>
      </c>
      <c r="C743" s="2">
        <f>MONTH(Sales_Dataset[[#This Row],[Order Date]])</f>
        <v>4</v>
      </c>
      <c r="D743" t="s">
        <v>766</v>
      </c>
      <c r="E743" t="s">
        <v>36</v>
      </c>
      <c r="F743" t="s">
        <v>10</v>
      </c>
      <c r="G743" t="s">
        <v>16</v>
      </c>
      <c r="H743" s="5">
        <v>9840</v>
      </c>
      <c r="I743">
        <v>11</v>
      </c>
      <c r="J743" s="5">
        <v>3870</v>
      </c>
    </row>
    <row r="744" spans="1:10" x14ac:dyDescent="0.35">
      <c r="A744" s="1">
        <v>45044</v>
      </c>
      <c r="B744" s="2">
        <f>YEAR(Sales_Dataset[[#This Row],[Order Date]])</f>
        <v>2023</v>
      </c>
      <c r="C744" s="2">
        <f>MONTH(Sales_Dataset[[#This Row],[Order Date]])</f>
        <v>4</v>
      </c>
      <c r="D744" t="s">
        <v>169</v>
      </c>
      <c r="E744" t="s">
        <v>47</v>
      </c>
      <c r="F744" t="s">
        <v>24</v>
      </c>
      <c r="G744" t="s">
        <v>27</v>
      </c>
      <c r="H744" s="5">
        <v>738</v>
      </c>
      <c r="I744">
        <v>2</v>
      </c>
      <c r="J744" s="5">
        <v>342</v>
      </c>
    </row>
    <row r="745" spans="1:10" x14ac:dyDescent="0.35">
      <c r="A745" s="1">
        <v>45044</v>
      </c>
      <c r="B745" s="2">
        <f>YEAR(Sales_Dataset[[#This Row],[Order Date]])</f>
        <v>2023</v>
      </c>
      <c r="C745" s="2">
        <f>MONTH(Sales_Dataset[[#This Row],[Order Date]])</f>
        <v>4</v>
      </c>
      <c r="D745" t="s">
        <v>588</v>
      </c>
      <c r="E745" t="s">
        <v>9</v>
      </c>
      <c r="F745" t="s">
        <v>24</v>
      </c>
      <c r="G745" t="s">
        <v>27</v>
      </c>
      <c r="H745" s="5">
        <v>5317</v>
      </c>
      <c r="I745">
        <v>18</v>
      </c>
      <c r="J745" s="5">
        <v>1345</v>
      </c>
    </row>
    <row r="746" spans="1:10" x14ac:dyDescent="0.35">
      <c r="A746" s="1">
        <v>45044</v>
      </c>
      <c r="B746" s="2">
        <f>YEAR(Sales_Dataset[[#This Row],[Order Date]])</f>
        <v>2023</v>
      </c>
      <c r="C746" s="2">
        <f>MONTH(Sales_Dataset[[#This Row],[Order Date]])</f>
        <v>4</v>
      </c>
      <c r="D746" t="s">
        <v>588</v>
      </c>
      <c r="E746" t="s">
        <v>9</v>
      </c>
      <c r="F746" t="s">
        <v>24</v>
      </c>
      <c r="G746" t="s">
        <v>25</v>
      </c>
      <c r="H746" s="5">
        <v>6304</v>
      </c>
      <c r="I746">
        <v>14</v>
      </c>
      <c r="J746" s="5">
        <v>766</v>
      </c>
    </row>
    <row r="747" spans="1:10" x14ac:dyDescent="0.35">
      <c r="A747" s="1">
        <v>45049</v>
      </c>
      <c r="B747" s="2">
        <f>YEAR(Sales_Dataset[[#This Row],[Order Date]])</f>
        <v>2023</v>
      </c>
      <c r="C747" s="2">
        <f>MONTH(Sales_Dataset[[#This Row],[Order Date]])</f>
        <v>5</v>
      </c>
      <c r="D747" t="s">
        <v>414</v>
      </c>
      <c r="E747" t="s">
        <v>9</v>
      </c>
      <c r="F747" t="s">
        <v>10</v>
      </c>
      <c r="G747" t="s">
        <v>11</v>
      </c>
      <c r="H747" s="5">
        <v>2804</v>
      </c>
      <c r="I747">
        <v>10</v>
      </c>
      <c r="J747" s="5">
        <v>936</v>
      </c>
    </row>
    <row r="748" spans="1:10" x14ac:dyDescent="0.35">
      <c r="A748" s="1">
        <v>45049</v>
      </c>
      <c r="B748" s="2">
        <f>YEAR(Sales_Dataset[[#This Row],[Order Date]])</f>
        <v>2023</v>
      </c>
      <c r="C748" s="2">
        <f>MONTH(Sales_Dataset[[#This Row],[Order Date]])</f>
        <v>5</v>
      </c>
      <c r="D748" t="s">
        <v>481</v>
      </c>
      <c r="E748" t="s">
        <v>47</v>
      </c>
      <c r="F748" t="s">
        <v>18</v>
      </c>
      <c r="G748" t="s">
        <v>33</v>
      </c>
      <c r="H748" s="5">
        <v>6596</v>
      </c>
      <c r="I748">
        <v>9</v>
      </c>
      <c r="J748" s="5">
        <v>1439</v>
      </c>
    </row>
    <row r="749" spans="1:10" x14ac:dyDescent="0.35">
      <c r="A749" s="1">
        <v>45050</v>
      </c>
      <c r="B749" s="2">
        <f>YEAR(Sales_Dataset[[#This Row],[Order Date]])</f>
        <v>2023</v>
      </c>
      <c r="C749" s="2">
        <f>MONTH(Sales_Dataset[[#This Row],[Order Date]])</f>
        <v>5</v>
      </c>
      <c r="D749" t="s">
        <v>269</v>
      </c>
      <c r="E749" t="s">
        <v>47</v>
      </c>
      <c r="F749" t="s">
        <v>24</v>
      </c>
      <c r="G749" t="s">
        <v>27</v>
      </c>
      <c r="H749" s="5">
        <v>7930</v>
      </c>
      <c r="I749">
        <v>13</v>
      </c>
      <c r="J749" s="5">
        <v>1981</v>
      </c>
    </row>
    <row r="750" spans="1:10" x14ac:dyDescent="0.35">
      <c r="A750" s="1">
        <v>45050</v>
      </c>
      <c r="B750" s="2">
        <f>YEAR(Sales_Dataset[[#This Row],[Order Date]])</f>
        <v>2023</v>
      </c>
      <c r="C750" s="2">
        <f>MONTH(Sales_Dataset[[#This Row],[Order Date]])</f>
        <v>5</v>
      </c>
      <c r="D750" t="s">
        <v>564</v>
      </c>
      <c r="E750" t="s">
        <v>47</v>
      </c>
      <c r="F750" t="s">
        <v>24</v>
      </c>
      <c r="G750" t="s">
        <v>51</v>
      </c>
      <c r="H750" s="5">
        <v>2401</v>
      </c>
      <c r="I750">
        <v>10</v>
      </c>
      <c r="J750" s="5">
        <v>1163</v>
      </c>
    </row>
    <row r="751" spans="1:10" x14ac:dyDescent="0.35">
      <c r="A751" s="1">
        <v>45050</v>
      </c>
      <c r="B751" s="2">
        <f>YEAR(Sales_Dataset[[#This Row],[Order Date]])</f>
        <v>2023</v>
      </c>
      <c r="C751" s="2">
        <f>MONTH(Sales_Dataset[[#This Row],[Order Date]])</f>
        <v>5</v>
      </c>
      <c r="D751" t="s">
        <v>564</v>
      </c>
      <c r="E751" t="s">
        <v>47</v>
      </c>
      <c r="F751" t="s">
        <v>10</v>
      </c>
      <c r="G751" t="s">
        <v>41</v>
      </c>
      <c r="H751" s="5">
        <v>1045</v>
      </c>
      <c r="I751">
        <v>11</v>
      </c>
      <c r="J751" s="5">
        <v>267</v>
      </c>
    </row>
    <row r="752" spans="1:10" x14ac:dyDescent="0.35">
      <c r="A752" s="1">
        <v>45050</v>
      </c>
      <c r="B752" s="2">
        <f>YEAR(Sales_Dataset[[#This Row],[Order Date]])</f>
        <v>2023</v>
      </c>
      <c r="C752" s="2">
        <f>MONTH(Sales_Dataset[[#This Row],[Order Date]])</f>
        <v>5</v>
      </c>
      <c r="D752" t="s">
        <v>800</v>
      </c>
      <c r="E752" t="s">
        <v>15</v>
      </c>
      <c r="F752" t="s">
        <v>10</v>
      </c>
      <c r="G752" t="s">
        <v>23</v>
      </c>
      <c r="H752" s="5">
        <v>7992</v>
      </c>
      <c r="I752">
        <v>12</v>
      </c>
      <c r="J752" s="5">
        <v>893</v>
      </c>
    </row>
    <row r="753" spans="1:10" x14ac:dyDescent="0.35">
      <c r="A753" s="1">
        <v>45054</v>
      </c>
      <c r="B753" s="2">
        <f>YEAR(Sales_Dataset[[#This Row],[Order Date]])</f>
        <v>2023</v>
      </c>
      <c r="C753" s="2">
        <f>MONTH(Sales_Dataset[[#This Row],[Order Date]])</f>
        <v>5</v>
      </c>
      <c r="D753" t="s">
        <v>92</v>
      </c>
      <c r="E753" t="s">
        <v>22</v>
      </c>
      <c r="F753" t="s">
        <v>24</v>
      </c>
      <c r="G753" t="s">
        <v>51</v>
      </c>
      <c r="H753" s="5">
        <v>2478</v>
      </c>
      <c r="I753">
        <v>12</v>
      </c>
      <c r="J753" s="5">
        <v>92</v>
      </c>
    </row>
    <row r="754" spans="1:10" x14ac:dyDescent="0.35">
      <c r="A754" s="1">
        <v>45056</v>
      </c>
      <c r="B754" s="2">
        <f>YEAR(Sales_Dataset[[#This Row],[Order Date]])</f>
        <v>2023</v>
      </c>
      <c r="C754" s="2">
        <f>MONTH(Sales_Dataset[[#This Row],[Order Date]])</f>
        <v>5</v>
      </c>
      <c r="D754" t="s">
        <v>635</v>
      </c>
      <c r="E754" t="s">
        <v>22</v>
      </c>
      <c r="F754" t="s">
        <v>10</v>
      </c>
      <c r="G754" t="s">
        <v>23</v>
      </c>
      <c r="H754" s="5">
        <v>3918</v>
      </c>
      <c r="I754">
        <v>8</v>
      </c>
      <c r="J754" s="5">
        <v>749</v>
      </c>
    </row>
    <row r="755" spans="1:10" x14ac:dyDescent="0.35">
      <c r="A755" s="1">
        <v>45060</v>
      </c>
      <c r="B755" s="2">
        <f>YEAR(Sales_Dataset[[#This Row],[Order Date]])</f>
        <v>2023</v>
      </c>
      <c r="C755" s="2">
        <f>MONTH(Sales_Dataset[[#This Row],[Order Date]])</f>
        <v>5</v>
      </c>
      <c r="D755" t="s">
        <v>520</v>
      </c>
      <c r="E755" t="s">
        <v>36</v>
      </c>
      <c r="F755" t="s">
        <v>18</v>
      </c>
      <c r="G755" t="s">
        <v>39</v>
      </c>
      <c r="H755" s="5">
        <v>5250</v>
      </c>
      <c r="I755">
        <v>1</v>
      </c>
      <c r="J755" s="5">
        <v>187</v>
      </c>
    </row>
    <row r="756" spans="1:10" x14ac:dyDescent="0.35">
      <c r="A756" s="1">
        <v>45065</v>
      </c>
      <c r="B756" s="2">
        <f>YEAR(Sales_Dataset[[#This Row],[Order Date]])</f>
        <v>2023</v>
      </c>
      <c r="C756" s="2">
        <f>MONTH(Sales_Dataset[[#This Row],[Order Date]])</f>
        <v>5</v>
      </c>
      <c r="D756" t="s">
        <v>557</v>
      </c>
      <c r="E756" t="s">
        <v>47</v>
      </c>
      <c r="F756" t="s">
        <v>10</v>
      </c>
      <c r="G756" t="s">
        <v>41</v>
      </c>
      <c r="H756" s="5">
        <v>798</v>
      </c>
      <c r="I756">
        <v>10</v>
      </c>
      <c r="J756" s="5">
        <v>308</v>
      </c>
    </row>
    <row r="757" spans="1:10" x14ac:dyDescent="0.35">
      <c r="A757" s="1">
        <v>45065</v>
      </c>
      <c r="B757" s="2">
        <f>YEAR(Sales_Dataset[[#This Row],[Order Date]])</f>
        <v>2023</v>
      </c>
      <c r="C757" s="2">
        <f>MONTH(Sales_Dataset[[#This Row],[Order Date]])</f>
        <v>5</v>
      </c>
      <c r="D757" t="s">
        <v>557</v>
      </c>
      <c r="E757" t="s">
        <v>47</v>
      </c>
      <c r="F757" t="s">
        <v>10</v>
      </c>
      <c r="G757" t="s">
        <v>16</v>
      </c>
      <c r="H757" s="5">
        <v>7967</v>
      </c>
      <c r="I757">
        <v>13</v>
      </c>
      <c r="J757" s="5">
        <v>2504</v>
      </c>
    </row>
    <row r="758" spans="1:10" x14ac:dyDescent="0.35">
      <c r="A758" s="1">
        <v>45070</v>
      </c>
      <c r="B758" s="2">
        <f>YEAR(Sales_Dataset[[#This Row],[Order Date]])</f>
        <v>2023</v>
      </c>
      <c r="C758" s="2">
        <f>MONTH(Sales_Dataset[[#This Row],[Order Date]])</f>
        <v>5</v>
      </c>
      <c r="D758" t="s">
        <v>290</v>
      </c>
      <c r="E758" t="s">
        <v>36</v>
      </c>
      <c r="F758" t="s">
        <v>10</v>
      </c>
      <c r="G758" t="s">
        <v>16</v>
      </c>
      <c r="H758" s="5">
        <v>6488</v>
      </c>
      <c r="I758">
        <v>18</v>
      </c>
      <c r="J758" s="5">
        <v>1591</v>
      </c>
    </row>
    <row r="759" spans="1:10" x14ac:dyDescent="0.35">
      <c r="A759" s="1">
        <v>45070</v>
      </c>
      <c r="B759" s="2">
        <f>YEAR(Sales_Dataset[[#This Row],[Order Date]])</f>
        <v>2023</v>
      </c>
      <c r="C759" s="2">
        <f>MONTH(Sales_Dataset[[#This Row],[Order Date]])</f>
        <v>5</v>
      </c>
      <c r="D759" t="s">
        <v>713</v>
      </c>
      <c r="E759" t="s">
        <v>22</v>
      </c>
      <c r="F759" t="s">
        <v>24</v>
      </c>
      <c r="G759" t="s">
        <v>51</v>
      </c>
      <c r="H759" s="5">
        <v>5994</v>
      </c>
      <c r="I759">
        <v>9</v>
      </c>
      <c r="J759" s="5">
        <v>2826</v>
      </c>
    </row>
    <row r="760" spans="1:10" x14ac:dyDescent="0.35">
      <c r="A760" s="1">
        <v>45073</v>
      </c>
      <c r="B760" s="2">
        <f>YEAR(Sales_Dataset[[#This Row],[Order Date]])</f>
        <v>2023</v>
      </c>
      <c r="C760" s="2">
        <f>MONTH(Sales_Dataset[[#This Row],[Order Date]])</f>
        <v>5</v>
      </c>
      <c r="D760" t="s">
        <v>59</v>
      </c>
      <c r="E760" t="s">
        <v>36</v>
      </c>
      <c r="F760" t="s">
        <v>24</v>
      </c>
      <c r="G760" t="s">
        <v>25</v>
      </c>
      <c r="H760" s="5">
        <v>3090</v>
      </c>
      <c r="I760">
        <v>6</v>
      </c>
      <c r="J760" s="5">
        <v>573</v>
      </c>
    </row>
    <row r="761" spans="1:10" x14ac:dyDescent="0.35">
      <c r="A761" s="1">
        <v>45073</v>
      </c>
      <c r="B761" s="2">
        <f>YEAR(Sales_Dataset[[#This Row],[Order Date]])</f>
        <v>2023</v>
      </c>
      <c r="C761" s="2">
        <f>MONTH(Sales_Dataset[[#This Row],[Order Date]])</f>
        <v>5</v>
      </c>
      <c r="D761" t="s">
        <v>59</v>
      </c>
      <c r="E761" t="s">
        <v>36</v>
      </c>
      <c r="F761" t="s">
        <v>10</v>
      </c>
      <c r="G761" t="s">
        <v>16</v>
      </c>
      <c r="H761" s="5">
        <v>9683</v>
      </c>
      <c r="I761">
        <v>5</v>
      </c>
      <c r="J761" s="5">
        <v>1014</v>
      </c>
    </row>
    <row r="762" spans="1:10" x14ac:dyDescent="0.35">
      <c r="A762" s="1">
        <v>45075</v>
      </c>
      <c r="B762" s="2">
        <f>YEAR(Sales_Dataset[[#This Row],[Order Date]])</f>
        <v>2023</v>
      </c>
      <c r="C762" s="2">
        <f>MONTH(Sales_Dataset[[#This Row],[Order Date]])</f>
        <v>5</v>
      </c>
      <c r="D762" t="s">
        <v>281</v>
      </c>
      <c r="E762" t="s">
        <v>15</v>
      </c>
      <c r="F762" t="s">
        <v>18</v>
      </c>
      <c r="G762" t="s">
        <v>39</v>
      </c>
      <c r="H762" s="5">
        <v>874</v>
      </c>
      <c r="I762">
        <v>15</v>
      </c>
      <c r="J762" s="5">
        <v>235</v>
      </c>
    </row>
    <row r="763" spans="1:10" x14ac:dyDescent="0.35">
      <c r="A763" s="1">
        <v>45077</v>
      </c>
      <c r="B763" s="2">
        <f>YEAR(Sales_Dataset[[#This Row],[Order Date]])</f>
        <v>2023</v>
      </c>
      <c r="C763" s="2">
        <f>MONTH(Sales_Dataset[[#This Row],[Order Date]])</f>
        <v>5</v>
      </c>
      <c r="D763" t="s">
        <v>801</v>
      </c>
      <c r="E763" t="s">
        <v>13</v>
      </c>
      <c r="F763" t="s">
        <v>10</v>
      </c>
      <c r="G763" t="s">
        <v>23</v>
      </c>
      <c r="H763" s="5">
        <v>7992</v>
      </c>
      <c r="I763">
        <v>12</v>
      </c>
      <c r="J763" s="5">
        <v>893</v>
      </c>
    </row>
    <row r="764" spans="1:10" x14ac:dyDescent="0.35">
      <c r="A764" s="1">
        <v>45078</v>
      </c>
      <c r="B764" s="2">
        <f>YEAR(Sales_Dataset[[#This Row],[Order Date]])</f>
        <v>2023</v>
      </c>
      <c r="C764" s="2">
        <f>MONTH(Sales_Dataset[[#This Row],[Order Date]])</f>
        <v>6</v>
      </c>
      <c r="D764" t="s">
        <v>369</v>
      </c>
      <c r="E764" t="s">
        <v>13</v>
      </c>
      <c r="F764" t="s">
        <v>10</v>
      </c>
      <c r="G764" t="s">
        <v>16</v>
      </c>
      <c r="H764" s="5">
        <v>6252</v>
      </c>
      <c r="I764">
        <v>2</v>
      </c>
      <c r="J764" s="5">
        <v>1377</v>
      </c>
    </row>
    <row r="765" spans="1:10" x14ac:dyDescent="0.35">
      <c r="A765" s="1">
        <v>45081</v>
      </c>
      <c r="B765" s="2">
        <f>YEAR(Sales_Dataset[[#This Row],[Order Date]])</f>
        <v>2023</v>
      </c>
      <c r="C765" s="2">
        <f>MONTH(Sales_Dataset[[#This Row],[Order Date]])</f>
        <v>6</v>
      </c>
      <c r="D765" t="s">
        <v>356</v>
      </c>
      <c r="E765" t="s">
        <v>22</v>
      </c>
      <c r="F765" t="s">
        <v>24</v>
      </c>
      <c r="G765" t="s">
        <v>27</v>
      </c>
      <c r="H765" s="5">
        <v>883</v>
      </c>
      <c r="I765">
        <v>7</v>
      </c>
      <c r="J765" s="5">
        <v>127</v>
      </c>
    </row>
    <row r="766" spans="1:10" x14ac:dyDescent="0.35">
      <c r="A766" s="1">
        <v>45081</v>
      </c>
      <c r="B766" s="2">
        <f>YEAR(Sales_Dataset[[#This Row],[Order Date]])</f>
        <v>2023</v>
      </c>
      <c r="C766" s="2">
        <f>MONTH(Sales_Dataset[[#This Row],[Order Date]])</f>
        <v>6</v>
      </c>
      <c r="D766" t="s">
        <v>356</v>
      </c>
      <c r="E766" t="s">
        <v>22</v>
      </c>
      <c r="F766" t="s">
        <v>24</v>
      </c>
      <c r="G766" t="s">
        <v>51</v>
      </c>
      <c r="H766" s="5">
        <v>4539</v>
      </c>
      <c r="I766">
        <v>8</v>
      </c>
      <c r="J766" s="5">
        <v>1155</v>
      </c>
    </row>
    <row r="767" spans="1:10" x14ac:dyDescent="0.35">
      <c r="A767" s="1">
        <v>45081</v>
      </c>
      <c r="B767" s="2">
        <f>YEAR(Sales_Dataset[[#This Row],[Order Date]])</f>
        <v>2023</v>
      </c>
      <c r="C767" s="2">
        <f>MONTH(Sales_Dataset[[#This Row],[Order Date]])</f>
        <v>6</v>
      </c>
      <c r="D767" t="s">
        <v>356</v>
      </c>
      <c r="E767" t="s">
        <v>22</v>
      </c>
      <c r="F767" t="s">
        <v>18</v>
      </c>
      <c r="G767" t="s">
        <v>39</v>
      </c>
      <c r="H767" s="5">
        <v>9659</v>
      </c>
      <c r="I767">
        <v>16</v>
      </c>
      <c r="J767" s="5">
        <v>2226</v>
      </c>
    </row>
    <row r="768" spans="1:10" x14ac:dyDescent="0.35">
      <c r="A768" s="1">
        <v>45082</v>
      </c>
      <c r="B768" s="2">
        <f>YEAR(Sales_Dataset[[#This Row],[Order Date]])</f>
        <v>2023</v>
      </c>
      <c r="C768" s="2">
        <f>MONTH(Sales_Dataset[[#This Row],[Order Date]])</f>
        <v>6</v>
      </c>
      <c r="D768" t="s">
        <v>693</v>
      </c>
      <c r="E768" t="s">
        <v>15</v>
      </c>
      <c r="F768" t="s">
        <v>10</v>
      </c>
      <c r="G768" t="s">
        <v>16</v>
      </c>
      <c r="H768" s="5">
        <v>8974</v>
      </c>
      <c r="I768">
        <v>16</v>
      </c>
      <c r="J768" s="5">
        <v>4441</v>
      </c>
    </row>
    <row r="769" spans="1:10" x14ac:dyDescent="0.35">
      <c r="A769" s="1">
        <v>45084</v>
      </c>
      <c r="B769" s="2">
        <f>YEAR(Sales_Dataset[[#This Row],[Order Date]])</f>
        <v>2023</v>
      </c>
      <c r="C769" s="2">
        <f>MONTH(Sales_Dataset[[#This Row],[Order Date]])</f>
        <v>6</v>
      </c>
      <c r="D769" t="s">
        <v>675</v>
      </c>
      <c r="E769" t="s">
        <v>15</v>
      </c>
      <c r="F769" t="s">
        <v>18</v>
      </c>
      <c r="G769" t="s">
        <v>30</v>
      </c>
      <c r="H769" s="5">
        <v>5338</v>
      </c>
      <c r="I769">
        <v>16</v>
      </c>
      <c r="J769" s="5">
        <v>1354</v>
      </c>
    </row>
    <row r="770" spans="1:10" x14ac:dyDescent="0.35">
      <c r="A770" s="1">
        <v>45085</v>
      </c>
      <c r="B770" s="2">
        <f>YEAR(Sales_Dataset[[#This Row],[Order Date]])</f>
        <v>2023</v>
      </c>
      <c r="C770" s="2">
        <f>MONTH(Sales_Dataset[[#This Row],[Order Date]])</f>
        <v>6</v>
      </c>
      <c r="D770" t="s">
        <v>154</v>
      </c>
      <c r="E770" t="s">
        <v>15</v>
      </c>
      <c r="F770" t="s">
        <v>24</v>
      </c>
      <c r="G770" t="s">
        <v>31</v>
      </c>
      <c r="H770" s="5">
        <v>1523</v>
      </c>
      <c r="I770">
        <v>3</v>
      </c>
      <c r="J770" s="5">
        <v>234</v>
      </c>
    </row>
    <row r="771" spans="1:10" x14ac:dyDescent="0.35">
      <c r="A771" s="1">
        <v>45085</v>
      </c>
      <c r="B771" s="2">
        <f>YEAR(Sales_Dataset[[#This Row],[Order Date]])</f>
        <v>2023</v>
      </c>
      <c r="C771" s="2">
        <f>MONTH(Sales_Dataset[[#This Row],[Order Date]])</f>
        <v>6</v>
      </c>
      <c r="D771" t="s">
        <v>154</v>
      </c>
      <c r="E771" t="s">
        <v>15</v>
      </c>
      <c r="F771" t="s">
        <v>10</v>
      </c>
      <c r="G771" t="s">
        <v>11</v>
      </c>
      <c r="H771" s="5">
        <v>9073</v>
      </c>
      <c r="I771">
        <v>7</v>
      </c>
      <c r="J771" s="5">
        <v>424</v>
      </c>
    </row>
    <row r="772" spans="1:10" x14ac:dyDescent="0.35">
      <c r="A772" s="1">
        <v>45085</v>
      </c>
      <c r="B772" s="2">
        <f>YEAR(Sales_Dataset[[#This Row],[Order Date]])</f>
        <v>2023</v>
      </c>
      <c r="C772" s="2">
        <f>MONTH(Sales_Dataset[[#This Row],[Order Date]])</f>
        <v>6</v>
      </c>
      <c r="D772" t="s">
        <v>503</v>
      </c>
      <c r="E772" t="s">
        <v>22</v>
      </c>
      <c r="F772" t="s">
        <v>24</v>
      </c>
      <c r="G772" t="s">
        <v>51</v>
      </c>
      <c r="H772" s="5">
        <v>8218</v>
      </c>
      <c r="I772">
        <v>19</v>
      </c>
      <c r="J772" s="5">
        <v>1430</v>
      </c>
    </row>
    <row r="773" spans="1:10" x14ac:dyDescent="0.35">
      <c r="A773" s="1">
        <v>45085</v>
      </c>
      <c r="B773" s="2">
        <f>YEAR(Sales_Dataset[[#This Row],[Order Date]])</f>
        <v>2023</v>
      </c>
      <c r="C773" s="2">
        <f>MONTH(Sales_Dataset[[#This Row],[Order Date]])</f>
        <v>6</v>
      </c>
      <c r="D773" t="s">
        <v>537</v>
      </c>
      <c r="E773" t="s">
        <v>15</v>
      </c>
      <c r="F773" t="s">
        <v>10</v>
      </c>
      <c r="G773" t="s">
        <v>23</v>
      </c>
      <c r="H773" s="5">
        <v>9879</v>
      </c>
      <c r="I773">
        <v>15</v>
      </c>
      <c r="J773" s="5">
        <v>4930</v>
      </c>
    </row>
    <row r="774" spans="1:10" x14ac:dyDescent="0.35">
      <c r="A774" s="1">
        <v>45092</v>
      </c>
      <c r="B774" s="2">
        <f>YEAR(Sales_Dataset[[#This Row],[Order Date]])</f>
        <v>2023</v>
      </c>
      <c r="C774" s="2">
        <f>MONTH(Sales_Dataset[[#This Row],[Order Date]])</f>
        <v>6</v>
      </c>
      <c r="D774" t="s">
        <v>275</v>
      </c>
      <c r="E774" t="s">
        <v>47</v>
      </c>
      <c r="F774" t="s">
        <v>10</v>
      </c>
      <c r="G774" t="s">
        <v>41</v>
      </c>
      <c r="H774" s="5">
        <v>7664</v>
      </c>
      <c r="I774">
        <v>19</v>
      </c>
      <c r="J774" s="5">
        <v>1753</v>
      </c>
    </row>
    <row r="775" spans="1:10" x14ac:dyDescent="0.35">
      <c r="A775" s="1">
        <v>45099</v>
      </c>
      <c r="B775" s="2">
        <f>YEAR(Sales_Dataset[[#This Row],[Order Date]])</f>
        <v>2023</v>
      </c>
      <c r="C775" s="2">
        <f>MONTH(Sales_Dataset[[#This Row],[Order Date]])</f>
        <v>6</v>
      </c>
      <c r="D775" t="s">
        <v>812</v>
      </c>
      <c r="E775" t="s">
        <v>36</v>
      </c>
      <c r="F775" t="s">
        <v>10</v>
      </c>
      <c r="G775" t="s">
        <v>23</v>
      </c>
      <c r="H775" s="5">
        <v>2553</v>
      </c>
      <c r="I775">
        <v>6</v>
      </c>
      <c r="J775" s="5">
        <v>907</v>
      </c>
    </row>
    <row r="776" spans="1:10" x14ac:dyDescent="0.35">
      <c r="A776" s="1">
        <v>45102</v>
      </c>
      <c r="B776" s="2">
        <f>YEAR(Sales_Dataset[[#This Row],[Order Date]])</f>
        <v>2023</v>
      </c>
      <c r="C776" s="2">
        <f>MONTH(Sales_Dataset[[#This Row],[Order Date]])</f>
        <v>6</v>
      </c>
      <c r="D776" t="s">
        <v>577</v>
      </c>
      <c r="E776" t="s">
        <v>13</v>
      </c>
      <c r="F776" t="s">
        <v>24</v>
      </c>
      <c r="G776" t="s">
        <v>31</v>
      </c>
      <c r="H776" s="5">
        <v>3281</v>
      </c>
      <c r="I776">
        <v>7</v>
      </c>
      <c r="J776" s="5">
        <v>471</v>
      </c>
    </row>
    <row r="777" spans="1:10" x14ac:dyDescent="0.35">
      <c r="A777" s="1">
        <v>45102</v>
      </c>
      <c r="B777" s="2">
        <f>YEAR(Sales_Dataset[[#This Row],[Order Date]])</f>
        <v>2023</v>
      </c>
      <c r="C777" s="2">
        <f>MONTH(Sales_Dataset[[#This Row],[Order Date]])</f>
        <v>6</v>
      </c>
      <c r="D777" t="s">
        <v>772</v>
      </c>
      <c r="E777" t="s">
        <v>15</v>
      </c>
      <c r="F777" t="s">
        <v>10</v>
      </c>
      <c r="G777" t="s">
        <v>23</v>
      </c>
      <c r="H777" s="5">
        <v>544</v>
      </c>
      <c r="I777">
        <v>2</v>
      </c>
      <c r="J777" s="5">
        <v>272</v>
      </c>
    </row>
    <row r="778" spans="1:10" x14ac:dyDescent="0.35">
      <c r="A778" s="1">
        <v>45103</v>
      </c>
      <c r="B778" s="2">
        <f>YEAR(Sales_Dataset[[#This Row],[Order Date]])</f>
        <v>2023</v>
      </c>
      <c r="C778" s="2">
        <f>MONTH(Sales_Dataset[[#This Row],[Order Date]])</f>
        <v>6</v>
      </c>
      <c r="D778" t="s">
        <v>335</v>
      </c>
      <c r="E778" t="s">
        <v>22</v>
      </c>
      <c r="F778" t="s">
        <v>10</v>
      </c>
      <c r="G778" t="s">
        <v>16</v>
      </c>
      <c r="H778" s="5">
        <v>2239</v>
      </c>
      <c r="I778">
        <v>1</v>
      </c>
      <c r="J778" s="5">
        <v>828</v>
      </c>
    </row>
    <row r="779" spans="1:10" x14ac:dyDescent="0.35">
      <c r="A779" s="1">
        <v>45103</v>
      </c>
      <c r="B779" s="2">
        <f>YEAR(Sales_Dataset[[#This Row],[Order Date]])</f>
        <v>2023</v>
      </c>
      <c r="C779" s="2">
        <f>MONTH(Sales_Dataset[[#This Row],[Order Date]])</f>
        <v>6</v>
      </c>
      <c r="D779" t="s">
        <v>335</v>
      </c>
      <c r="E779" t="s">
        <v>22</v>
      </c>
      <c r="F779" t="s">
        <v>10</v>
      </c>
      <c r="G779" t="s">
        <v>41</v>
      </c>
      <c r="H779" s="5">
        <v>2450</v>
      </c>
      <c r="I779">
        <v>4</v>
      </c>
      <c r="J779" s="5">
        <v>1002</v>
      </c>
    </row>
    <row r="780" spans="1:10" x14ac:dyDescent="0.35">
      <c r="A780" s="1">
        <v>45104</v>
      </c>
      <c r="B780" s="2">
        <f>YEAR(Sales_Dataset[[#This Row],[Order Date]])</f>
        <v>2023</v>
      </c>
      <c r="C780" s="2">
        <f>MONTH(Sales_Dataset[[#This Row],[Order Date]])</f>
        <v>6</v>
      </c>
      <c r="D780" t="s">
        <v>8</v>
      </c>
      <c r="E780" t="s">
        <v>9</v>
      </c>
      <c r="F780" t="s">
        <v>10</v>
      </c>
      <c r="G780" t="s">
        <v>11</v>
      </c>
      <c r="H780" s="5">
        <v>9726</v>
      </c>
      <c r="I780">
        <v>5</v>
      </c>
      <c r="J780" s="5">
        <v>1275</v>
      </c>
    </row>
    <row r="781" spans="1:10" x14ac:dyDescent="0.35">
      <c r="A781" s="1">
        <v>45104</v>
      </c>
      <c r="B781" s="2">
        <f>YEAR(Sales_Dataset[[#This Row],[Order Date]])</f>
        <v>2023</v>
      </c>
      <c r="C781" s="2">
        <f>MONTH(Sales_Dataset[[#This Row],[Order Date]])</f>
        <v>6</v>
      </c>
      <c r="D781" t="s">
        <v>8</v>
      </c>
      <c r="E781" t="s">
        <v>9</v>
      </c>
      <c r="F781" t="s">
        <v>10</v>
      </c>
      <c r="G781" t="s">
        <v>16</v>
      </c>
      <c r="H781" s="5">
        <v>4975</v>
      </c>
      <c r="I781">
        <v>14</v>
      </c>
      <c r="J781" s="5">
        <v>1330</v>
      </c>
    </row>
    <row r="782" spans="1:10" x14ac:dyDescent="0.35">
      <c r="A782" s="1">
        <v>45109</v>
      </c>
      <c r="B782" s="2">
        <f>YEAR(Sales_Dataset[[#This Row],[Order Date]])</f>
        <v>2023</v>
      </c>
      <c r="C782" s="2">
        <f>MONTH(Sales_Dataset[[#This Row],[Order Date]])</f>
        <v>7</v>
      </c>
      <c r="D782" t="s">
        <v>610</v>
      </c>
      <c r="E782" t="s">
        <v>15</v>
      </c>
      <c r="F782" t="s">
        <v>18</v>
      </c>
      <c r="G782" t="s">
        <v>33</v>
      </c>
      <c r="H782" s="5">
        <v>4751</v>
      </c>
      <c r="I782">
        <v>9</v>
      </c>
      <c r="J782" s="5">
        <v>781</v>
      </c>
    </row>
    <row r="783" spans="1:10" x14ac:dyDescent="0.35">
      <c r="A783" s="1">
        <v>45110</v>
      </c>
      <c r="B783" s="2">
        <f>YEAR(Sales_Dataset[[#This Row],[Order Date]])</f>
        <v>2023</v>
      </c>
      <c r="C783" s="2">
        <f>MONTH(Sales_Dataset[[#This Row],[Order Date]])</f>
        <v>7</v>
      </c>
      <c r="D783" t="s">
        <v>49</v>
      </c>
      <c r="E783" t="s">
        <v>22</v>
      </c>
      <c r="F783" t="s">
        <v>10</v>
      </c>
      <c r="G783" t="s">
        <v>41</v>
      </c>
      <c r="H783" s="5">
        <v>4051</v>
      </c>
      <c r="I783">
        <v>12</v>
      </c>
      <c r="J783" s="5">
        <v>1848</v>
      </c>
    </row>
    <row r="784" spans="1:10" x14ac:dyDescent="0.35">
      <c r="A784" s="1">
        <v>45110</v>
      </c>
      <c r="B784" s="2">
        <f>YEAR(Sales_Dataset[[#This Row],[Order Date]])</f>
        <v>2023</v>
      </c>
      <c r="C784" s="2">
        <f>MONTH(Sales_Dataset[[#This Row],[Order Date]])</f>
        <v>7</v>
      </c>
      <c r="D784" t="s">
        <v>49</v>
      </c>
      <c r="E784" t="s">
        <v>22</v>
      </c>
      <c r="F784" t="s">
        <v>24</v>
      </c>
      <c r="G784" t="s">
        <v>51</v>
      </c>
      <c r="H784" s="5">
        <v>5011</v>
      </c>
      <c r="I784">
        <v>11</v>
      </c>
      <c r="J784" s="5">
        <v>866</v>
      </c>
    </row>
    <row r="785" spans="1:10" x14ac:dyDescent="0.35">
      <c r="A785" s="1">
        <v>45112</v>
      </c>
      <c r="B785" s="2">
        <f>YEAR(Sales_Dataset[[#This Row],[Order Date]])</f>
        <v>2023</v>
      </c>
      <c r="C785" s="2">
        <f>MONTH(Sales_Dataset[[#This Row],[Order Date]])</f>
        <v>7</v>
      </c>
      <c r="D785" t="s">
        <v>618</v>
      </c>
      <c r="E785" t="s">
        <v>13</v>
      </c>
      <c r="F785" t="s">
        <v>24</v>
      </c>
      <c r="G785" t="s">
        <v>25</v>
      </c>
      <c r="H785" s="5">
        <v>8572</v>
      </c>
      <c r="I785">
        <v>8</v>
      </c>
      <c r="J785" s="5">
        <v>2041</v>
      </c>
    </row>
    <row r="786" spans="1:10" x14ac:dyDescent="0.35">
      <c r="A786" s="1">
        <v>45112</v>
      </c>
      <c r="B786" s="2">
        <f>YEAR(Sales_Dataset[[#This Row],[Order Date]])</f>
        <v>2023</v>
      </c>
      <c r="C786" s="2">
        <f>MONTH(Sales_Dataset[[#This Row],[Order Date]])</f>
        <v>7</v>
      </c>
      <c r="D786" t="s">
        <v>618</v>
      </c>
      <c r="E786" t="s">
        <v>13</v>
      </c>
      <c r="F786" t="s">
        <v>10</v>
      </c>
      <c r="G786" t="s">
        <v>16</v>
      </c>
      <c r="H786" s="5">
        <v>8059</v>
      </c>
      <c r="I786">
        <v>10</v>
      </c>
      <c r="J786" s="5">
        <v>1834</v>
      </c>
    </row>
    <row r="787" spans="1:10" x14ac:dyDescent="0.35">
      <c r="A787" s="1">
        <v>45114</v>
      </c>
      <c r="B787" s="2">
        <f>YEAR(Sales_Dataset[[#This Row],[Order Date]])</f>
        <v>2023</v>
      </c>
      <c r="C787" s="2">
        <f>MONTH(Sales_Dataset[[#This Row],[Order Date]])</f>
        <v>7</v>
      </c>
      <c r="D787" t="s">
        <v>139</v>
      </c>
      <c r="E787" t="s">
        <v>9</v>
      </c>
      <c r="F787" t="s">
        <v>24</v>
      </c>
      <c r="G787" t="s">
        <v>51</v>
      </c>
      <c r="H787" s="5">
        <v>8586</v>
      </c>
      <c r="I787">
        <v>7</v>
      </c>
      <c r="J787" s="5">
        <v>3826</v>
      </c>
    </row>
    <row r="788" spans="1:10" x14ac:dyDescent="0.35">
      <c r="A788" s="1">
        <v>45117</v>
      </c>
      <c r="B788" s="2">
        <f>YEAR(Sales_Dataset[[#This Row],[Order Date]])</f>
        <v>2023</v>
      </c>
      <c r="C788" s="2">
        <f>MONTH(Sales_Dataset[[#This Row],[Order Date]])</f>
        <v>7</v>
      </c>
      <c r="D788" t="s">
        <v>424</v>
      </c>
      <c r="E788" t="s">
        <v>15</v>
      </c>
      <c r="F788" t="s">
        <v>10</v>
      </c>
      <c r="G788" t="s">
        <v>41</v>
      </c>
      <c r="H788" s="5">
        <v>7122</v>
      </c>
      <c r="I788">
        <v>6</v>
      </c>
      <c r="J788" s="5">
        <v>1836</v>
      </c>
    </row>
    <row r="789" spans="1:10" x14ac:dyDescent="0.35">
      <c r="A789" s="1">
        <v>45117</v>
      </c>
      <c r="B789" s="2">
        <f>YEAR(Sales_Dataset[[#This Row],[Order Date]])</f>
        <v>2023</v>
      </c>
      <c r="C789" s="2">
        <f>MONTH(Sales_Dataset[[#This Row],[Order Date]])</f>
        <v>7</v>
      </c>
      <c r="D789" t="s">
        <v>424</v>
      </c>
      <c r="E789" t="s">
        <v>15</v>
      </c>
      <c r="F789" t="s">
        <v>18</v>
      </c>
      <c r="G789" t="s">
        <v>30</v>
      </c>
      <c r="H789" s="5">
        <v>7327</v>
      </c>
      <c r="I789">
        <v>15</v>
      </c>
      <c r="J789" s="5">
        <v>2596</v>
      </c>
    </row>
    <row r="790" spans="1:10" x14ac:dyDescent="0.35">
      <c r="A790" s="1">
        <v>45120</v>
      </c>
      <c r="B790" s="2">
        <f>YEAR(Sales_Dataset[[#This Row],[Order Date]])</f>
        <v>2023</v>
      </c>
      <c r="C790" s="2">
        <f>MONTH(Sales_Dataset[[#This Row],[Order Date]])</f>
        <v>7</v>
      </c>
      <c r="D790" t="s">
        <v>70</v>
      </c>
      <c r="E790" t="s">
        <v>22</v>
      </c>
      <c r="F790" t="s">
        <v>24</v>
      </c>
      <c r="G790" t="s">
        <v>25</v>
      </c>
      <c r="H790" s="5">
        <v>7533</v>
      </c>
      <c r="I790">
        <v>12</v>
      </c>
      <c r="J790" s="5">
        <v>3508</v>
      </c>
    </row>
    <row r="791" spans="1:10" x14ac:dyDescent="0.35">
      <c r="A791" s="1">
        <v>45120</v>
      </c>
      <c r="B791" s="2">
        <f>YEAR(Sales_Dataset[[#This Row],[Order Date]])</f>
        <v>2023</v>
      </c>
      <c r="C791" s="2">
        <f>MONTH(Sales_Dataset[[#This Row],[Order Date]])</f>
        <v>7</v>
      </c>
      <c r="D791" t="s">
        <v>70</v>
      </c>
      <c r="E791" t="s">
        <v>22</v>
      </c>
      <c r="F791" t="s">
        <v>18</v>
      </c>
      <c r="G791" t="s">
        <v>39</v>
      </c>
      <c r="H791" s="5">
        <v>4734</v>
      </c>
      <c r="I791">
        <v>16</v>
      </c>
      <c r="J791" s="5">
        <v>1178</v>
      </c>
    </row>
    <row r="792" spans="1:10" x14ac:dyDescent="0.35">
      <c r="A792" s="1">
        <v>45120</v>
      </c>
      <c r="B792" s="2">
        <f>YEAR(Sales_Dataset[[#This Row],[Order Date]])</f>
        <v>2023</v>
      </c>
      <c r="C792" s="2">
        <f>MONTH(Sales_Dataset[[#This Row],[Order Date]])</f>
        <v>7</v>
      </c>
      <c r="D792" t="s">
        <v>70</v>
      </c>
      <c r="E792" t="s">
        <v>22</v>
      </c>
      <c r="F792" t="s">
        <v>10</v>
      </c>
      <c r="G792" t="s">
        <v>11</v>
      </c>
      <c r="H792" s="5">
        <v>4074</v>
      </c>
      <c r="I792">
        <v>6</v>
      </c>
      <c r="J792" s="5">
        <v>1175</v>
      </c>
    </row>
    <row r="793" spans="1:10" x14ac:dyDescent="0.35">
      <c r="A793" s="1">
        <v>45120</v>
      </c>
      <c r="B793" s="2">
        <f>YEAR(Sales_Dataset[[#This Row],[Order Date]])</f>
        <v>2023</v>
      </c>
      <c r="C793" s="2">
        <f>MONTH(Sales_Dataset[[#This Row],[Order Date]])</f>
        <v>7</v>
      </c>
      <c r="D793" t="s">
        <v>70</v>
      </c>
      <c r="E793" t="s">
        <v>22</v>
      </c>
      <c r="F793" t="s">
        <v>24</v>
      </c>
      <c r="G793" t="s">
        <v>31</v>
      </c>
      <c r="H793" s="5">
        <v>2334</v>
      </c>
      <c r="I793">
        <v>3</v>
      </c>
      <c r="J793" s="5">
        <v>484</v>
      </c>
    </row>
    <row r="794" spans="1:10" x14ac:dyDescent="0.35">
      <c r="A794" s="1">
        <v>45121</v>
      </c>
      <c r="B794" s="2">
        <f>YEAR(Sales_Dataset[[#This Row],[Order Date]])</f>
        <v>2023</v>
      </c>
      <c r="C794" s="2">
        <f>MONTH(Sales_Dataset[[#This Row],[Order Date]])</f>
        <v>7</v>
      </c>
      <c r="D794" t="s">
        <v>811</v>
      </c>
      <c r="E794" t="s">
        <v>15</v>
      </c>
      <c r="F794" t="s">
        <v>24</v>
      </c>
      <c r="G794" t="s">
        <v>31</v>
      </c>
      <c r="H794" s="5">
        <v>6646</v>
      </c>
      <c r="I794">
        <v>15</v>
      </c>
      <c r="J794" s="5">
        <v>848</v>
      </c>
    </row>
    <row r="795" spans="1:10" x14ac:dyDescent="0.35">
      <c r="A795" s="1">
        <v>45122</v>
      </c>
      <c r="B795" s="2">
        <f>YEAR(Sales_Dataset[[#This Row],[Order Date]])</f>
        <v>2023</v>
      </c>
      <c r="C795" s="2">
        <f>MONTH(Sales_Dataset[[#This Row],[Order Date]])</f>
        <v>7</v>
      </c>
      <c r="D795" t="s">
        <v>160</v>
      </c>
      <c r="E795" t="s">
        <v>15</v>
      </c>
      <c r="F795" t="s">
        <v>10</v>
      </c>
      <c r="G795" t="s">
        <v>11</v>
      </c>
      <c r="H795" s="5">
        <v>9851</v>
      </c>
      <c r="I795">
        <v>19</v>
      </c>
      <c r="J795" s="5">
        <v>2669</v>
      </c>
    </row>
    <row r="796" spans="1:10" x14ac:dyDescent="0.35">
      <c r="A796" s="1">
        <v>45122</v>
      </c>
      <c r="B796" s="2">
        <f>YEAR(Sales_Dataset[[#This Row],[Order Date]])</f>
        <v>2023</v>
      </c>
      <c r="C796" s="2">
        <f>MONTH(Sales_Dataset[[#This Row],[Order Date]])</f>
        <v>7</v>
      </c>
      <c r="D796" t="s">
        <v>160</v>
      </c>
      <c r="E796" t="s">
        <v>15</v>
      </c>
      <c r="F796" t="s">
        <v>24</v>
      </c>
      <c r="G796" t="s">
        <v>25</v>
      </c>
      <c r="H796" s="5">
        <v>9989</v>
      </c>
      <c r="I796">
        <v>14</v>
      </c>
      <c r="J796" s="5">
        <v>3930</v>
      </c>
    </row>
    <row r="797" spans="1:10" x14ac:dyDescent="0.35">
      <c r="A797" s="1">
        <v>45123</v>
      </c>
      <c r="B797" s="2">
        <f>YEAR(Sales_Dataset[[#This Row],[Order Date]])</f>
        <v>2023</v>
      </c>
      <c r="C797" s="2">
        <f>MONTH(Sales_Dataset[[#This Row],[Order Date]])</f>
        <v>7</v>
      </c>
      <c r="D797" t="s">
        <v>82</v>
      </c>
      <c r="E797" t="s">
        <v>36</v>
      </c>
      <c r="F797" t="s">
        <v>24</v>
      </c>
      <c r="G797" t="s">
        <v>27</v>
      </c>
      <c r="H797" s="5">
        <v>5224</v>
      </c>
      <c r="I797">
        <v>16</v>
      </c>
      <c r="J797" s="5">
        <v>1958</v>
      </c>
    </row>
    <row r="798" spans="1:10" x14ac:dyDescent="0.35">
      <c r="A798" s="1">
        <v>45123</v>
      </c>
      <c r="B798" s="2">
        <f>YEAR(Sales_Dataset[[#This Row],[Order Date]])</f>
        <v>2023</v>
      </c>
      <c r="C798" s="2">
        <f>MONTH(Sales_Dataset[[#This Row],[Order Date]])</f>
        <v>7</v>
      </c>
      <c r="D798" t="s">
        <v>82</v>
      </c>
      <c r="E798" t="s">
        <v>36</v>
      </c>
      <c r="F798" t="s">
        <v>18</v>
      </c>
      <c r="G798" t="s">
        <v>30</v>
      </c>
      <c r="H798" s="5">
        <v>5002</v>
      </c>
      <c r="I798">
        <v>11</v>
      </c>
      <c r="J798" s="5">
        <v>1801</v>
      </c>
    </row>
    <row r="799" spans="1:10" x14ac:dyDescent="0.35">
      <c r="A799" s="1">
        <v>45123</v>
      </c>
      <c r="B799" s="2">
        <f>YEAR(Sales_Dataset[[#This Row],[Order Date]])</f>
        <v>2023</v>
      </c>
      <c r="C799" s="2">
        <f>MONTH(Sales_Dataset[[#This Row],[Order Date]])</f>
        <v>7</v>
      </c>
      <c r="D799" t="s">
        <v>82</v>
      </c>
      <c r="E799" t="s">
        <v>36</v>
      </c>
      <c r="F799" t="s">
        <v>18</v>
      </c>
      <c r="G799" t="s">
        <v>30</v>
      </c>
      <c r="H799" s="5">
        <v>7380</v>
      </c>
      <c r="I799">
        <v>18</v>
      </c>
      <c r="J799" s="5">
        <v>1673</v>
      </c>
    </row>
    <row r="800" spans="1:10" x14ac:dyDescent="0.35">
      <c r="A800" s="1">
        <v>45123</v>
      </c>
      <c r="B800" s="2">
        <f>YEAR(Sales_Dataset[[#This Row],[Order Date]])</f>
        <v>2023</v>
      </c>
      <c r="C800" s="2">
        <f>MONTH(Sales_Dataset[[#This Row],[Order Date]])</f>
        <v>7</v>
      </c>
      <c r="D800" t="s">
        <v>529</v>
      </c>
      <c r="E800" t="s">
        <v>9</v>
      </c>
      <c r="F800" t="s">
        <v>18</v>
      </c>
      <c r="G800" t="s">
        <v>19</v>
      </c>
      <c r="H800" s="5">
        <v>5831</v>
      </c>
      <c r="I800">
        <v>17</v>
      </c>
      <c r="J800" s="5">
        <v>1574</v>
      </c>
    </row>
    <row r="801" spans="1:10" x14ac:dyDescent="0.35">
      <c r="A801" s="1">
        <v>45124</v>
      </c>
      <c r="B801" s="2">
        <f>YEAR(Sales_Dataset[[#This Row],[Order Date]])</f>
        <v>2023</v>
      </c>
      <c r="C801" s="2">
        <f>MONTH(Sales_Dataset[[#This Row],[Order Date]])</f>
        <v>7</v>
      </c>
      <c r="D801" t="s">
        <v>477</v>
      </c>
      <c r="E801" t="s">
        <v>15</v>
      </c>
      <c r="F801" t="s">
        <v>18</v>
      </c>
      <c r="G801" t="s">
        <v>19</v>
      </c>
      <c r="H801" s="5">
        <v>2514</v>
      </c>
      <c r="I801">
        <v>8</v>
      </c>
      <c r="J801" s="5">
        <v>95</v>
      </c>
    </row>
    <row r="802" spans="1:10" x14ac:dyDescent="0.35">
      <c r="A802" s="1">
        <v>45125</v>
      </c>
      <c r="B802" s="2">
        <f>YEAR(Sales_Dataset[[#This Row],[Order Date]])</f>
        <v>2023</v>
      </c>
      <c r="C802" s="2">
        <f>MONTH(Sales_Dataset[[#This Row],[Order Date]])</f>
        <v>7</v>
      </c>
      <c r="D802" t="s">
        <v>472</v>
      </c>
      <c r="E802" t="s">
        <v>13</v>
      </c>
      <c r="F802" t="s">
        <v>10</v>
      </c>
      <c r="G802" t="s">
        <v>16</v>
      </c>
      <c r="H802" s="5">
        <v>9382</v>
      </c>
      <c r="I802">
        <v>3</v>
      </c>
      <c r="J802" s="5">
        <v>1085</v>
      </c>
    </row>
    <row r="803" spans="1:10" x14ac:dyDescent="0.35">
      <c r="A803" s="1">
        <v>45125</v>
      </c>
      <c r="B803" s="2">
        <f>YEAR(Sales_Dataset[[#This Row],[Order Date]])</f>
        <v>2023</v>
      </c>
      <c r="C803" s="2">
        <f>MONTH(Sales_Dataset[[#This Row],[Order Date]])</f>
        <v>7</v>
      </c>
      <c r="D803" t="s">
        <v>472</v>
      </c>
      <c r="E803" t="s">
        <v>13</v>
      </c>
      <c r="F803" t="s">
        <v>24</v>
      </c>
      <c r="G803" t="s">
        <v>25</v>
      </c>
      <c r="H803" s="5">
        <v>4936</v>
      </c>
      <c r="I803">
        <v>19</v>
      </c>
      <c r="J803" s="5">
        <v>576</v>
      </c>
    </row>
    <row r="804" spans="1:10" x14ac:dyDescent="0.35">
      <c r="A804" s="1">
        <v>45125</v>
      </c>
      <c r="B804" s="2">
        <f>YEAR(Sales_Dataset[[#This Row],[Order Date]])</f>
        <v>2023</v>
      </c>
      <c r="C804" s="2">
        <f>MONTH(Sales_Dataset[[#This Row],[Order Date]])</f>
        <v>7</v>
      </c>
      <c r="D804" t="s">
        <v>752</v>
      </c>
      <c r="E804" t="s">
        <v>47</v>
      </c>
      <c r="F804" t="s">
        <v>24</v>
      </c>
      <c r="G804" t="s">
        <v>31</v>
      </c>
      <c r="H804" s="5">
        <v>6485</v>
      </c>
      <c r="I804">
        <v>18</v>
      </c>
      <c r="J804" s="5">
        <v>3178</v>
      </c>
    </row>
    <row r="805" spans="1:10" x14ac:dyDescent="0.35">
      <c r="A805" s="1">
        <v>45127</v>
      </c>
      <c r="B805" s="2">
        <f>YEAR(Sales_Dataset[[#This Row],[Order Date]])</f>
        <v>2023</v>
      </c>
      <c r="C805" s="2">
        <f>MONTH(Sales_Dataset[[#This Row],[Order Date]])</f>
        <v>7</v>
      </c>
      <c r="D805" t="s">
        <v>567</v>
      </c>
      <c r="E805" t="s">
        <v>36</v>
      </c>
      <c r="F805" t="s">
        <v>18</v>
      </c>
      <c r="G805" t="s">
        <v>30</v>
      </c>
      <c r="H805" s="5">
        <v>7806</v>
      </c>
      <c r="I805">
        <v>1</v>
      </c>
      <c r="J805" s="5">
        <v>1127</v>
      </c>
    </row>
    <row r="806" spans="1:10" x14ac:dyDescent="0.35">
      <c r="A806" s="1">
        <v>45129</v>
      </c>
      <c r="B806" s="2">
        <f>YEAR(Sales_Dataset[[#This Row],[Order Date]])</f>
        <v>2023</v>
      </c>
      <c r="C806" s="2">
        <f>MONTH(Sales_Dataset[[#This Row],[Order Date]])</f>
        <v>7</v>
      </c>
      <c r="D806" t="s">
        <v>580</v>
      </c>
      <c r="E806" t="s">
        <v>15</v>
      </c>
      <c r="F806" t="s">
        <v>24</v>
      </c>
      <c r="G806" t="s">
        <v>27</v>
      </c>
      <c r="H806" s="5">
        <v>3877</v>
      </c>
      <c r="I806">
        <v>16</v>
      </c>
      <c r="J806" s="5">
        <v>481</v>
      </c>
    </row>
    <row r="807" spans="1:10" x14ac:dyDescent="0.35">
      <c r="A807" s="1">
        <v>45132</v>
      </c>
      <c r="B807" s="2">
        <f>YEAR(Sales_Dataset[[#This Row],[Order Date]])</f>
        <v>2023</v>
      </c>
      <c r="C807" s="2">
        <f>MONTH(Sales_Dataset[[#This Row],[Order Date]])</f>
        <v>7</v>
      </c>
      <c r="D807" t="s">
        <v>604</v>
      </c>
      <c r="E807" t="s">
        <v>36</v>
      </c>
      <c r="F807" t="s">
        <v>10</v>
      </c>
      <c r="G807" t="s">
        <v>11</v>
      </c>
      <c r="H807" s="5">
        <v>8780</v>
      </c>
      <c r="I807">
        <v>4</v>
      </c>
      <c r="J807" s="5">
        <v>3430</v>
      </c>
    </row>
    <row r="808" spans="1:10" x14ac:dyDescent="0.35">
      <c r="A808" s="1">
        <v>45135</v>
      </c>
      <c r="B808" s="2">
        <f>YEAR(Sales_Dataset[[#This Row],[Order Date]])</f>
        <v>2023</v>
      </c>
      <c r="C808" s="2">
        <f>MONTH(Sales_Dataset[[#This Row],[Order Date]])</f>
        <v>7</v>
      </c>
      <c r="D808" t="s">
        <v>659</v>
      </c>
      <c r="E808" t="s">
        <v>15</v>
      </c>
      <c r="F808" t="s">
        <v>10</v>
      </c>
      <c r="G808" t="s">
        <v>41</v>
      </c>
      <c r="H808" s="5">
        <v>4026</v>
      </c>
      <c r="I808">
        <v>6</v>
      </c>
      <c r="J808" s="5">
        <v>163</v>
      </c>
    </row>
    <row r="809" spans="1:10" x14ac:dyDescent="0.35">
      <c r="A809" s="1">
        <v>45137</v>
      </c>
      <c r="B809" s="2">
        <f>YEAR(Sales_Dataset[[#This Row],[Order Date]])</f>
        <v>2023</v>
      </c>
      <c r="C809" s="2">
        <f>MONTH(Sales_Dataset[[#This Row],[Order Date]])</f>
        <v>7</v>
      </c>
      <c r="D809" t="s">
        <v>426</v>
      </c>
      <c r="E809" t="s">
        <v>9</v>
      </c>
      <c r="F809" t="s">
        <v>10</v>
      </c>
      <c r="G809" t="s">
        <v>16</v>
      </c>
      <c r="H809" s="5">
        <v>4609</v>
      </c>
      <c r="I809">
        <v>8</v>
      </c>
      <c r="J809" s="5">
        <v>1084</v>
      </c>
    </row>
    <row r="810" spans="1:10" x14ac:dyDescent="0.35">
      <c r="A810" s="1">
        <v>45137</v>
      </c>
      <c r="B810" s="2">
        <f>YEAR(Sales_Dataset[[#This Row],[Order Date]])</f>
        <v>2023</v>
      </c>
      <c r="C810" s="2">
        <f>MONTH(Sales_Dataset[[#This Row],[Order Date]])</f>
        <v>7</v>
      </c>
      <c r="D810" t="s">
        <v>426</v>
      </c>
      <c r="E810" t="s">
        <v>9</v>
      </c>
      <c r="F810" t="s">
        <v>18</v>
      </c>
      <c r="G810" t="s">
        <v>33</v>
      </c>
      <c r="H810" s="5">
        <v>2328</v>
      </c>
      <c r="I810">
        <v>4</v>
      </c>
      <c r="J810" s="5">
        <v>788</v>
      </c>
    </row>
    <row r="811" spans="1:10" x14ac:dyDescent="0.35">
      <c r="A811" s="1">
        <v>45137</v>
      </c>
      <c r="B811" s="2">
        <f>YEAR(Sales_Dataset[[#This Row],[Order Date]])</f>
        <v>2023</v>
      </c>
      <c r="C811" s="2">
        <f>MONTH(Sales_Dataset[[#This Row],[Order Date]])</f>
        <v>7</v>
      </c>
      <c r="D811" t="s">
        <v>426</v>
      </c>
      <c r="E811" t="s">
        <v>9</v>
      </c>
      <c r="F811" t="s">
        <v>10</v>
      </c>
      <c r="G811" t="s">
        <v>16</v>
      </c>
      <c r="H811" s="5">
        <v>4734</v>
      </c>
      <c r="I811">
        <v>7</v>
      </c>
      <c r="J811" s="5">
        <v>958</v>
      </c>
    </row>
    <row r="812" spans="1:10" x14ac:dyDescent="0.35">
      <c r="A812" s="1">
        <v>45142</v>
      </c>
      <c r="B812" s="2">
        <f>YEAR(Sales_Dataset[[#This Row],[Order Date]])</f>
        <v>2023</v>
      </c>
      <c r="C812" s="2">
        <f>MONTH(Sales_Dataset[[#This Row],[Order Date]])</f>
        <v>8</v>
      </c>
      <c r="D812" t="s">
        <v>201</v>
      </c>
      <c r="E812" t="s">
        <v>15</v>
      </c>
      <c r="F812" t="s">
        <v>18</v>
      </c>
      <c r="G812" t="s">
        <v>19</v>
      </c>
      <c r="H812" s="5">
        <v>907</v>
      </c>
      <c r="I812">
        <v>9</v>
      </c>
      <c r="J812" s="5">
        <v>391</v>
      </c>
    </row>
    <row r="813" spans="1:10" x14ac:dyDescent="0.35">
      <c r="A813" s="1">
        <v>45142</v>
      </c>
      <c r="B813" s="2">
        <f>YEAR(Sales_Dataset[[#This Row],[Order Date]])</f>
        <v>2023</v>
      </c>
      <c r="C813" s="2">
        <f>MONTH(Sales_Dataset[[#This Row],[Order Date]])</f>
        <v>8</v>
      </c>
      <c r="D813" t="s">
        <v>680</v>
      </c>
      <c r="E813" t="s">
        <v>13</v>
      </c>
      <c r="F813" t="s">
        <v>10</v>
      </c>
      <c r="G813" t="s">
        <v>16</v>
      </c>
      <c r="H813" s="5">
        <v>6017</v>
      </c>
      <c r="I813">
        <v>13</v>
      </c>
      <c r="J813" s="5">
        <v>2230</v>
      </c>
    </row>
    <row r="814" spans="1:10" x14ac:dyDescent="0.35">
      <c r="A814" s="1">
        <v>45150</v>
      </c>
      <c r="B814" s="2">
        <f>YEAR(Sales_Dataset[[#This Row],[Order Date]])</f>
        <v>2023</v>
      </c>
      <c r="C814" s="2">
        <f>MONTH(Sales_Dataset[[#This Row],[Order Date]])</f>
        <v>8</v>
      </c>
      <c r="D814" t="s">
        <v>734</v>
      </c>
      <c r="E814" t="s">
        <v>47</v>
      </c>
      <c r="F814" t="s">
        <v>10</v>
      </c>
      <c r="G814" t="s">
        <v>16</v>
      </c>
      <c r="H814" s="5">
        <v>6669</v>
      </c>
      <c r="I814">
        <v>19</v>
      </c>
      <c r="J814" s="5">
        <v>3063</v>
      </c>
    </row>
    <row r="815" spans="1:10" x14ac:dyDescent="0.35">
      <c r="A815" s="1">
        <v>45151</v>
      </c>
      <c r="B815" s="2">
        <f>YEAR(Sales_Dataset[[#This Row],[Order Date]])</f>
        <v>2023</v>
      </c>
      <c r="C815" s="2">
        <f>MONTH(Sales_Dataset[[#This Row],[Order Date]])</f>
        <v>8</v>
      </c>
      <c r="D815" t="s">
        <v>140</v>
      </c>
      <c r="E815" t="s">
        <v>22</v>
      </c>
      <c r="F815" t="s">
        <v>24</v>
      </c>
      <c r="G815" t="s">
        <v>31</v>
      </c>
      <c r="H815" s="5">
        <v>5047</v>
      </c>
      <c r="I815">
        <v>13</v>
      </c>
      <c r="J815" s="5">
        <v>2211</v>
      </c>
    </row>
    <row r="816" spans="1:10" x14ac:dyDescent="0.35">
      <c r="A816" s="1">
        <v>45155</v>
      </c>
      <c r="B816" s="2">
        <f>YEAR(Sales_Dataset[[#This Row],[Order Date]])</f>
        <v>2023</v>
      </c>
      <c r="C816" s="2">
        <f>MONTH(Sales_Dataset[[#This Row],[Order Date]])</f>
        <v>8</v>
      </c>
      <c r="D816" t="s">
        <v>395</v>
      </c>
      <c r="E816" t="s">
        <v>36</v>
      </c>
      <c r="F816" t="s">
        <v>10</v>
      </c>
      <c r="G816" t="s">
        <v>11</v>
      </c>
      <c r="H816" s="5">
        <v>7213</v>
      </c>
      <c r="I816">
        <v>19</v>
      </c>
      <c r="J816" s="5">
        <v>508</v>
      </c>
    </row>
    <row r="817" spans="1:10" x14ac:dyDescent="0.35">
      <c r="A817" s="1">
        <v>45155</v>
      </c>
      <c r="B817" s="2">
        <f>YEAR(Sales_Dataset[[#This Row],[Order Date]])</f>
        <v>2023</v>
      </c>
      <c r="C817" s="2">
        <f>MONTH(Sales_Dataset[[#This Row],[Order Date]])</f>
        <v>8</v>
      </c>
      <c r="D817" t="s">
        <v>395</v>
      </c>
      <c r="E817" t="s">
        <v>36</v>
      </c>
      <c r="F817" t="s">
        <v>24</v>
      </c>
      <c r="G817" t="s">
        <v>25</v>
      </c>
      <c r="H817" s="5">
        <v>3176</v>
      </c>
      <c r="I817">
        <v>9</v>
      </c>
      <c r="J817" s="5">
        <v>586</v>
      </c>
    </row>
    <row r="818" spans="1:10" x14ac:dyDescent="0.35">
      <c r="A818" s="1">
        <v>45157</v>
      </c>
      <c r="B818" s="2">
        <f>YEAR(Sales_Dataset[[#This Row],[Order Date]])</f>
        <v>2023</v>
      </c>
      <c r="C818" s="2">
        <f>MONTH(Sales_Dataset[[#This Row],[Order Date]])</f>
        <v>8</v>
      </c>
      <c r="D818" t="s">
        <v>810</v>
      </c>
      <c r="E818" t="s">
        <v>15</v>
      </c>
      <c r="F818" t="s">
        <v>24</v>
      </c>
      <c r="G818" t="s">
        <v>31</v>
      </c>
      <c r="H818" s="5">
        <v>6646</v>
      </c>
      <c r="I818">
        <v>15</v>
      </c>
      <c r="J818" s="5">
        <v>848</v>
      </c>
    </row>
    <row r="819" spans="1:10" x14ac:dyDescent="0.35">
      <c r="A819" s="1">
        <v>45158</v>
      </c>
      <c r="B819" s="2">
        <f>YEAR(Sales_Dataset[[#This Row],[Order Date]])</f>
        <v>2023</v>
      </c>
      <c r="C819" s="2">
        <f>MONTH(Sales_Dataset[[#This Row],[Order Date]])</f>
        <v>8</v>
      </c>
      <c r="D819" t="s">
        <v>689</v>
      </c>
      <c r="E819" t="s">
        <v>22</v>
      </c>
      <c r="F819" t="s">
        <v>18</v>
      </c>
      <c r="G819" t="s">
        <v>19</v>
      </c>
      <c r="H819" s="5">
        <v>8178</v>
      </c>
      <c r="I819">
        <v>10</v>
      </c>
      <c r="J819" s="5">
        <v>2462</v>
      </c>
    </row>
    <row r="820" spans="1:10" x14ac:dyDescent="0.35">
      <c r="A820" s="1">
        <v>45159</v>
      </c>
      <c r="B820" s="2">
        <f>YEAR(Sales_Dataset[[#This Row],[Order Date]])</f>
        <v>2023</v>
      </c>
      <c r="C820" s="2">
        <f>MONTH(Sales_Dataset[[#This Row],[Order Date]])</f>
        <v>8</v>
      </c>
      <c r="D820" t="s">
        <v>56</v>
      </c>
      <c r="E820" t="s">
        <v>22</v>
      </c>
      <c r="F820" t="s">
        <v>18</v>
      </c>
      <c r="G820" t="s">
        <v>39</v>
      </c>
      <c r="H820" s="5">
        <v>8293</v>
      </c>
      <c r="I820">
        <v>8</v>
      </c>
      <c r="J820" s="5">
        <v>2632</v>
      </c>
    </row>
    <row r="821" spans="1:10" x14ac:dyDescent="0.35">
      <c r="A821" s="1">
        <v>45159</v>
      </c>
      <c r="B821" s="2">
        <f>YEAR(Sales_Dataset[[#This Row],[Order Date]])</f>
        <v>2023</v>
      </c>
      <c r="C821" s="2">
        <f>MONTH(Sales_Dataset[[#This Row],[Order Date]])</f>
        <v>8</v>
      </c>
      <c r="D821" t="s">
        <v>56</v>
      </c>
      <c r="E821" t="s">
        <v>22</v>
      </c>
      <c r="F821" t="s">
        <v>10</v>
      </c>
      <c r="G821" t="s">
        <v>41</v>
      </c>
      <c r="H821" s="5">
        <v>2863</v>
      </c>
      <c r="I821">
        <v>17</v>
      </c>
      <c r="J821" s="5">
        <v>205</v>
      </c>
    </row>
    <row r="822" spans="1:10" x14ac:dyDescent="0.35">
      <c r="A822" s="1">
        <v>45159</v>
      </c>
      <c r="B822" s="2">
        <f>YEAR(Sales_Dataset[[#This Row],[Order Date]])</f>
        <v>2023</v>
      </c>
      <c r="C822" s="2">
        <f>MONTH(Sales_Dataset[[#This Row],[Order Date]])</f>
        <v>8</v>
      </c>
      <c r="D822" t="s">
        <v>256</v>
      </c>
      <c r="E822" t="s">
        <v>47</v>
      </c>
      <c r="F822" t="s">
        <v>24</v>
      </c>
      <c r="G822" t="s">
        <v>31</v>
      </c>
      <c r="H822" s="5">
        <v>7684</v>
      </c>
      <c r="I822">
        <v>12</v>
      </c>
      <c r="J822" s="5">
        <v>1157</v>
      </c>
    </row>
    <row r="823" spans="1:10" x14ac:dyDescent="0.35">
      <c r="A823" s="1">
        <v>45159</v>
      </c>
      <c r="B823" s="2">
        <f>YEAR(Sales_Dataset[[#This Row],[Order Date]])</f>
        <v>2023</v>
      </c>
      <c r="C823" s="2">
        <f>MONTH(Sales_Dataset[[#This Row],[Order Date]])</f>
        <v>8</v>
      </c>
      <c r="D823" t="s">
        <v>687</v>
      </c>
      <c r="E823" t="s">
        <v>36</v>
      </c>
      <c r="F823" t="s">
        <v>18</v>
      </c>
      <c r="G823" t="s">
        <v>19</v>
      </c>
      <c r="H823" s="5">
        <v>670</v>
      </c>
      <c r="I823">
        <v>9</v>
      </c>
      <c r="J823" s="5">
        <v>85</v>
      </c>
    </row>
    <row r="824" spans="1:10" x14ac:dyDescent="0.35">
      <c r="A824" s="1">
        <v>45161</v>
      </c>
      <c r="B824" s="2">
        <f>YEAR(Sales_Dataset[[#This Row],[Order Date]])</f>
        <v>2023</v>
      </c>
      <c r="C824" s="2">
        <f>MONTH(Sales_Dataset[[#This Row],[Order Date]])</f>
        <v>8</v>
      </c>
      <c r="D824" t="s">
        <v>340</v>
      </c>
      <c r="E824" t="s">
        <v>13</v>
      </c>
      <c r="F824" t="s">
        <v>10</v>
      </c>
      <c r="G824" t="s">
        <v>41</v>
      </c>
      <c r="H824" s="5">
        <v>5152</v>
      </c>
      <c r="I824">
        <v>14</v>
      </c>
      <c r="J824" s="5">
        <v>2045</v>
      </c>
    </row>
    <row r="825" spans="1:10" x14ac:dyDescent="0.35">
      <c r="A825" s="1">
        <v>45169</v>
      </c>
      <c r="B825" s="2">
        <f>YEAR(Sales_Dataset[[#This Row],[Order Date]])</f>
        <v>2023</v>
      </c>
      <c r="C825" s="2">
        <f>MONTH(Sales_Dataset[[#This Row],[Order Date]])</f>
        <v>8</v>
      </c>
      <c r="D825" t="s">
        <v>316</v>
      </c>
      <c r="E825" t="s">
        <v>36</v>
      </c>
      <c r="F825" t="s">
        <v>10</v>
      </c>
      <c r="G825" t="s">
        <v>11</v>
      </c>
      <c r="H825" s="5">
        <v>6355</v>
      </c>
      <c r="I825">
        <v>15</v>
      </c>
      <c r="J825" s="5">
        <v>1335</v>
      </c>
    </row>
    <row r="826" spans="1:10" x14ac:dyDescent="0.35">
      <c r="A826" s="1">
        <v>45170</v>
      </c>
      <c r="B826" s="2">
        <f>YEAR(Sales_Dataset[[#This Row],[Order Date]])</f>
        <v>2023</v>
      </c>
      <c r="C826" s="2">
        <f>MONTH(Sales_Dataset[[#This Row],[Order Date]])</f>
        <v>9</v>
      </c>
      <c r="D826" t="s">
        <v>153</v>
      </c>
      <c r="E826" t="s">
        <v>15</v>
      </c>
      <c r="F826" t="s">
        <v>18</v>
      </c>
      <c r="G826" t="s">
        <v>30</v>
      </c>
      <c r="H826" s="5">
        <v>9965</v>
      </c>
      <c r="I826">
        <v>16</v>
      </c>
      <c r="J826" s="5">
        <v>3033</v>
      </c>
    </row>
    <row r="827" spans="1:10" x14ac:dyDescent="0.35">
      <c r="A827" s="1">
        <v>45173</v>
      </c>
      <c r="B827" s="2">
        <f>YEAR(Sales_Dataset[[#This Row],[Order Date]])</f>
        <v>2023</v>
      </c>
      <c r="C827" s="2">
        <f>MONTH(Sales_Dataset[[#This Row],[Order Date]])</f>
        <v>9</v>
      </c>
      <c r="D827" t="s">
        <v>691</v>
      </c>
      <c r="E827" t="s">
        <v>13</v>
      </c>
      <c r="F827" t="s">
        <v>24</v>
      </c>
      <c r="G827" t="s">
        <v>25</v>
      </c>
      <c r="H827" s="5">
        <v>8752</v>
      </c>
      <c r="I827">
        <v>9</v>
      </c>
      <c r="J827" s="5">
        <v>1686</v>
      </c>
    </row>
    <row r="828" spans="1:10" x14ac:dyDescent="0.35">
      <c r="A828" s="1">
        <v>45176</v>
      </c>
      <c r="B828" s="2">
        <f>YEAR(Sales_Dataset[[#This Row],[Order Date]])</f>
        <v>2023</v>
      </c>
      <c r="C828" s="2">
        <f>MONTH(Sales_Dataset[[#This Row],[Order Date]])</f>
        <v>9</v>
      </c>
      <c r="D828" t="s">
        <v>364</v>
      </c>
      <c r="E828" t="s">
        <v>13</v>
      </c>
      <c r="F828" t="s">
        <v>24</v>
      </c>
      <c r="G828" t="s">
        <v>25</v>
      </c>
      <c r="H828" s="5">
        <v>4852</v>
      </c>
      <c r="I828">
        <v>2</v>
      </c>
      <c r="J828" s="5">
        <v>218</v>
      </c>
    </row>
    <row r="829" spans="1:10" x14ac:dyDescent="0.35">
      <c r="A829" s="1">
        <v>45179</v>
      </c>
      <c r="B829" s="2">
        <f>YEAR(Sales_Dataset[[#This Row],[Order Date]])</f>
        <v>2023</v>
      </c>
      <c r="C829" s="2">
        <f>MONTH(Sales_Dataset[[#This Row],[Order Date]])</f>
        <v>9</v>
      </c>
      <c r="D829" t="s">
        <v>640</v>
      </c>
      <c r="E829" t="s">
        <v>15</v>
      </c>
      <c r="F829" t="s">
        <v>18</v>
      </c>
      <c r="G829" t="s">
        <v>33</v>
      </c>
      <c r="H829" s="5">
        <v>594</v>
      </c>
      <c r="I829">
        <v>19</v>
      </c>
      <c r="J829" s="5">
        <v>67</v>
      </c>
    </row>
    <row r="830" spans="1:10" x14ac:dyDescent="0.35">
      <c r="A830" s="1">
        <v>45182</v>
      </c>
      <c r="B830" s="2">
        <f>YEAR(Sales_Dataset[[#This Row],[Order Date]])</f>
        <v>2023</v>
      </c>
      <c r="C830" s="2">
        <f>MONTH(Sales_Dataset[[#This Row],[Order Date]])</f>
        <v>9</v>
      </c>
      <c r="D830" t="s">
        <v>198</v>
      </c>
      <c r="E830" t="s">
        <v>36</v>
      </c>
      <c r="F830" t="s">
        <v>18</v>
      </c>
      <c r="G830" t="s">
        <v>19</v>
      </c>
      <c r="H830" s="5">
        <v>1167</v>
      </c>
      <c r="I830">
        <v>5</v>
      </c>
      <c r="J830" s="5">
        <v>463</v>
      </c>
    </row>
    <row r="831" spans="1:10" x14ac:dyDescent="0.35">
      <c r="A831" s="1">
        <v>45182</v>
      </c>
      <c r="B831" s="2">
        <f>YEAR(Sales_Dataset[[#This Row],[Order Date]])</f>
        <v>2023</v>
      </c>
      <c r="C831" s="2">
        <f>MONTH(Sales_Dataset[[#This Row],[Order Date]])</f>
        <v>9</v>
      </c>
      <c r="D831" t="s">
        <v>198</v>
      </c>
      <c r="E831" t="s">
        <v>36</v>
      </c>
      <c r="F831" t="s">
        <v>10</v>
      </c>
      <c r="G831" t="s">
        <v>23</v>
      </c>
      <c r="H831" s="5">
        <v>2841</v>
      </c>
      <c r="I831">
        <v>20</v>
      </c>
      <c r="J831" s="5">
        <v>803</v>
      </c>
    </row>
    <row r="832" spans="1:10" x14ac:dyDescent="0.35">
      <c r="A832" s="1">
        <v>45182</v>
      </c>
      <c r="B832" s="2">
        <f>YEAR(Sales_Dataset[[#This Row],[Order Date]])</f>
        <v>2023</v>
      </c>
      <c r="C832" s="2">
        <f>MONTH(Sales_Dataset[[#This Row],[Order Date]])</f>
        <v>9</v>
      </c>
      <c r="D832" t="s">
        <v>198</v>
      </c>
      <c r="E832" t="s">
        <v>36</v>
      </c>
      <c r="F832" t="s">
        <v>24</v>
      </c>
      <c r="G832" t="s">
        <v>25</v>
      </c>
      <c r="H832" s="5">
        <v>5680</v>
      </c>
      <c r="I832">
        <v>19</v>
      </c>
      <c r="J832" s="5">
        <v>2159</v>
      </c>
    </row>
    <row r="833" spans="1:10" x14ac:dyDescent="0.35">
      <c r="A833" s="1">
        <v>45183</v>
      </c>
      <c r="B833" s="2">
        <f>YEAR(Sales_Dataset[[#This Row],[Order Date]])</f>
        <v>2023</v>
      </c>
      <c r="C833" s="2">
        <f>MONTH(Sales_Dataset[[#This Row],[Order Date]])</f>
        <v>9</v>
      </c>
      <c r="D833" t="s">
        <v>343</v>
      </c>
      <c r="E833" t="s">
        <v>22</v>
      </c>
      <c r="F833" t="s">
        <v>18</v>
      </c>
      <c r="G833" t="s">
        <v>30</v>
      </c>
      <c r="H833" s="5">
        <v>8102</v>
      </c>
      <c r="I833">
        <v>5</v>
      </c>
      <c r="J833" s="5">
        <v>1800</v>
      </c>
    </row>
    <row r="834" spans="1:10" x14ac:dyDescent="0.35">
      <c r="A834" s="1">
        <v>45183</v>
      </c>
      <c r="B834" s="2">
        <f>YEAR(Sales_Dataset[[#This Row],[Order Date]])</f>
        <v>2023</v>
      </c>
      <c r="C834" s="2">
        <f>MONTH(Sales_Dataset[[#This Row],[Order Date]])</f>
        <v>9</v>
      </c>
      <c r="D834" t="s">
        <v>343</v>
      </c>
      <c r="E834" t="s">
        <v>22</v>
      </c>
      <c r="F834" t="s">
        <v>24</v>
      </c>
      <c r="G834" t="s">
        <v>25</v>
      </c>
      <c r="H834" s="5">
        <v>3234</v>
      </c>
      <c r="I834">
        <v>10</v>
      </c>
      <c r="J834" s="5">
        <v>1274</v>
      </c>
    </row>
    <row r="835" spans="1:10" x14ac:dyDescent="0.35">
      <c r="A835" s="1">
        <v>45186</v>
      </c>
      <c r="B835" s="2">
        <f>YEAR(Sales_Dataset[[#This Row],[Order Date]])</f>
        <v>2023</v>
      </c>
      <c r="C835" s="2">
        <f>MONTH(Sales_Dataset[[#This Row],[Order Date]])</f>
        <v>9</v>
      </c>
      <c r="D835" t="s">
        <v>175</v>
      </c>
      <c r="E835" t="s">
        <v>9</v>
      </c>
      <c r="F835" t="s">
        <v>10</v>
      </c>
      <c r="G835" t="s">
        <v>41</v>
      </c>
      <c r="H835" s="5">
        <v>2962</v>
      </c>
      <c r="I835">
        <v>1</v>
      </c>
      <c r="J835" s="5">
        <v>1470</v>
      </c>
    </row>
    <row r="836" spans="1:10" x14ac:dyDescent="0.35">
      <c r="A836" s="1">
        <v>45186</v>
      </c>
      <c r="B836" s="2">
        <f>YEAR(Sales_Dataset[[#This Row],[Order Date]])</f>
        <v>2023</v>
      </c>
      <c r="C836" s="2">
        <f>MONTH(Sales_Dataset[[#This Row],[Order Date]])</f>
        <v>9</v>
      </c>
      <c r="D836" t="s">
        <v>175</v>
      </c>
      <c r="E836" t="s">
        <v>9</v>
      </c>
      <c r="F836" t="s">
        <v>10</v>
      </c>
      <c r="G836" t="s">
        <v>16</v>
      </c>
      <c r="H836" s="5">
        <v>7131</v>
      </c>
      <c r="I836">
        <v>12</v>
      </c>
      <c r="J836" s="5">
        <v>718</v>
      </c>
    </row>
    <row r="837" spans="1:10" x14ac:dyDescent="0.35">
      <c r="A837" s="1">
        <v>45186</v>
      </c>
      <c r="B837" s="2">
        <f>YEAR(Sales_Dataset[[#This Row],[Order Date]])</f>
        <v>2023</v>
      </c>
      <c r="C837" s="2">
        <f>MONTH(Sales_Dataset[[#This Row],[Order Date]])</f>
        <v>9</v>
      </c>
      <c r="D837" t="s">
        <v>175</v>
      </c>
      <c r="E837" t="s">
        <v>9</v>
      </c>
      <c r="F837" t="s">
        <v>18</v>
      </c>
      <c r="G837" t="s">
        <v>30</v>
      </c>
      <c r="H837" s="5">
        <v>4200</v>
      </c>
      <c r="I837">
        <v>10</v>
      </c>
      <c r="J837" s="5">
        <v>855</v>
      </c>
    </row>
    <row r="838" spans="1:10" x14ac:dyDescent="0.35">
      <c r="A838" s="1">
        <v>45187</v>
      </c>
      <c r="B838" s="2">
        <f>YEAR(Sales_Dataset[[#This Row],[Order Date]])</f>
        <v>2023</v>
      </c>
      <c r="C838" s="2">
        <f>MONTH(Sales_Dataset[[#This Row],[Order Date]])</f>
        <v>9</v>
      </c>
      <c r="D838" t="s">
        <v>173</v>
      </c>
      <c r="E838" t="s">
        <v>47</v>
      </c>
      <c r="F838" t="s">
        <v>10</v>
      </c>
      <c r="G838" t="s">
        <v>11</v>
      </c>
      <c r="H838" s="5">
        <v>1366</v>
      </c>
      <c r="I838">
        <v>17</v>
      </c>
      <c r="J838" s="5">
        <v>242</v>
      </c>
    </row>
    <row r="839" spans="1:10" x14ac:dyDescent="0.35">
      <c r="A839" s="1">
        <v>45187</v>
      </c>
      <c r="B839" s="2">
        <f>YEAR(Sales_Dataset[[#This Row],[Order Date]])</f>
        <v>2023</v>
      </c>
      <c r="C839" s="2">
        <f>MONTH(Sales_Dataset[[#This Row],[Order Date]])</f>
        <v>9</v>
      </c>
      <c r="D839" t="s">
        <v>173</v>
      </c>
      <c r="E839" t="s">
        <v>47</v>
      </c>
      <c r="F839" t="s">
        <v>18</v>
      </c>
      <c r="G839" t="s">
        <v>30</v>
      </c>
      <c r="H839" s="5">
        <v>1518</v>
      </c>
      <c r="I839">
        <v>13</v>
      </c>
      <c r="J839" s="5">
        <v>155</v>
      </c>
    </row>
    <row r="840" spans="1:10" x14ac:dyDescent="0.35">
      <c r="A840" s="1">
        <v>45189</v>
      </c>
      <c r="B840" s="2">
        <f>YEAR(Sales_Dataset[[#This Row],[Order Date]])</f>
        <v>2023</v>
      </c>
      <c r="C840" s="2">
        <f>MONTH(Sales_Dataset[[#This Row],[Order Date]])</f>
        <v>9</v>
      </c>
      <c r="D840" t="s">
        <v>131</v>
      </c>
      <c r="E840" t="s">
        <v>47</v>
      </c>
      <c r="F840" t="s">
        <v>10</v>
      </c>
      <c r="G840" t="s">
        <v>16</v>
      </c>
      <c r="H840" s="5">
        <v>1860</v>
      </c>
      <c r="I840">
        <v>13</v>
      </c>
      <c r="J840" s="5">
        <v>457</v>
      </c>
    </row>
    <row r="841" spans="1:10" x14ac:dyDescent="0.35">
      <c r="A841" s="1">
        <v>45189</v>
      </c>
      <c r="B841" s="2">
        <f>YEAR(Sales_Dataset[[#This Row],[Order Date]])</f>
        <v>2023</v>
      </c>
      <c r="C841" s="2">
        <f>MONTH(Sales_Dataset[[#This Row],[Order Date]])</f>
        <v>9</v>
      </c>
      <c r="D841" t="s">
        <v>295</v>
      </c>
      <c r="E841" t="s">
        <v>9</v>
      </c>
      <c r="F841" t="s">
        <v>18</v>
      </c>
      <c r="G841" t="s">
        <v>19</v>
      </c>
      <c r="H841" s="5">
        <v>3956</v>
      </c>
      <c r="I841">
        <v>12</v>
      </c>
      <c r="J841" s="5">
        <v>142</v>
      </c>
    </row>
    <row r="842" spans="1:10" x14ac:dyDescent="0.35">
      <c r="A842" s="1">
        <v>45189</v>
      </c>
      <c r="B842" s="2">
        <f>YEAR(Sales_Dataset[[#This Row],[Order Date]])</f>
        <v>2023</v>
      </c>
      <c r="C842" s="2">
        <f>MONTH(Sales_Dataset[[#This Row],[Order Date]])</f>
        <v>9</v>
      </c>
      <c r="D842" t="s">
        <v>295</v>
      </c>
      <c r="E842" t="s">
        <v>9</v>
      </c>
      <c r="F842" t="s">
        <v>24</v>
      </c>
      <c r="G842" t="s">
        <v>51</v>
      </c>
      <c r="H842" s="5">
        <v>6449</v>
      </c>
      <c r="I842">
        <v>11</v>
      </c>
      <c r="J842" s="5">
        <v>2628</v>
      </c>
    </row>
    <row r="843" spans="1:10" x14ac:dyDescent="0.35">
      <c r="A843" s="1">
        <v>45192</v>
      </c>
      <c r="B843" s="2">
        <f>YEAR(Sales_Dataset[[#This Row],[Order Date]])</f>
        <v>2023</v>
      </c>
      <c r="C843" s="2">
        <f>MONTH(Sales_Dataset[[#This Row],[Order Date]])</f>
        <v>9</v>
      </c>
      <c r="D843" t="s">
        <v>825</v>
      </c>
      <c r="E843" t="s">
        <v>36</v>
      </c>
      <c r="F843" t="s">
        <v>10</v>
      </c>
      <c r="G843" t="s">
        <v>11</v>
      </c>
      <c r="H843" s="5">
        <v>7699</v>
      </c>
      <c r="I843">
        <v>5</v>
      </c>
      <c r="J843" s="5">
        <v>246</v>
      </c>
    </row>
    <row r="844" spans="1:10" x14ac:dyDescent="0.35">
      <c r="A844" s="1">
        <v>45196</v>
      </c>
      <c r="B844" s="2">
        <f>YEAR(Sales_Dataset[[#This Row],[Order Date]])</f>
        <v>2023</v>
      </c>
      <c r="C844" s="2">
        <f>MONTH(Sales_Dataset[[#This Row],[Order Date]])</f>
        <v>9</v>
      </c>
      <c r="D844" t="s">
        <v>582</v>
      </c>
      <c r="E844" t="s">
        <v>9</v>
      </c>
      <c r="F844" t="s">
        <v>10</v>
      </c>
      <c r="G844" t="s">
        <v>16</v>
      </c>
      <c r="H844" s="5">
        <v>9369</v>
      </c>
      <c r="I844">
        <v>6</v>
      </c>
      <c r="J844" s="5">
        <v>3297</v>
      </c>
    </row>
    <row r="845" spans="1:10" x14ac:dyDescent="0.35">
      <c r="A845" s="1">
        <v>45196</v>
      </c>
      <c r="B845" s="2">
        <f>YEAR(Sales_Dataset[[#This Row],[Order Date]])</f>
        <v>2023</v>
      </c>
      <c r="C845" s="2">
        <f>MONTH(Sales_Dataset[[#This Row],[Order Date]])</f>
        <v>9</v>
      </c>
      <c r="D845" t="s">
        <v>582</v>
      </c>
      <c r="E845" t="s">
        <v>9</v>
      </c>
      <c r="F845" t="s">
        <v>10</v>
      </c>
      <c r="G845" t="s">
        <v>16</v>
      </c>
      <c r="H845" s="5">
        <v>8680</v>
      </c>
      <c r="I845">
        <v>20</v>
      </c>
      <c r="J845" s="5">
        <v>4068</v>
      </c>
    </row>
    <row r="846" spans="1:10" x14ac:dyDescent="0.35">
      <c r="A846" s="1">
        <v>45196</v>
      </c>
      <c r="B846" s="2">
        <f>YEAR(Sales_Dataset[[#This Row],[Order Date]])</f>
        <v>2023</v>
      </c>
      <c r="C846" s="2">
        <f>MONTH(Sales_Dataset[[#This Row],[Order Date]])</f>
        <v>9</v>
      </c>
      <c r="D846" t="s">
        <v>582</v>
      </c>
      <c r="E846" t="s">
        <v>9</v>
      </c>
      <c r="F846" t="s">
        <v>10</v>
      </c>
      <c r="G846" t="s">
        <v>23</v>
      </c>
      <c r="H846" s="5">
        <v>3067</v>
      </c>
      <c r="I846">
        <v>8</v>
      </c>
      <c r="J846" s="5">
        <v>1475</v>
      </c>
    </row>
    <row r="847" spans="1:10" x14ac:dyDescent="0.35">
      <c r="A847" s="1">
        <v>45199</v>
      </c>
      <c r="B847" s="2">
        <f>YEAR(Sales_Dataset[[#This Row],[Order Date]])</f>
        <v>2023</v>
      </c>
      <c r="C847" s="2">
        <f>MONTH(Sales_Dataset[[#This Row],[Order Date]])</f>
        <v>9</v>
      </c>
      <c r="D847" t="s">
        <v>336</v>
      </c>
      <c r="E847" t="s">
        <v>13</v>
      </c>
      <c r="F847" t="s">
        <v>10</v>
      </c>
      <c r="G847" t="s">
        <v>16</v>
      </c>
      <c r="H847" s="5">
        <v>2239</v>
      </c>
      <c r="I847">
        <v>1</v>
      </c>
      <c r="J847" s="5">
        <v>828</v>
      </c>
    </row>
    <row r="848" spans="1:10" x14ac:dyDescent="0.35">
      <c r="A848" s="1">
        <v>45199</v>
      </c>
      <c r="B848" s="2">
        <f>YEAR(Sales_Dataset[[#This Row],[Order Date]])</f>
        <v>2023</v>
      </c>
      <c r="C848" s="2">
        <f>MONTH(Sales_Dataset[[#This Row],[Order Date]])</f>
        <v>9</v>
      </c>
      <c r="D848" t="s">
        <v>336</v>
      </c>
      <c r="E848" t="s">
        <v>13</v>
      </c>
      <c r="F848" t="s">
        <v>10</v>
      </c>
      <c r="G848" t="s">
        <v>41</v>
      </c>
      <c r="H848" s="5">
        <v>2450</v>
      </c>
      <c r="I848">
        <v>4</v>
      </c>
      <c r="J848" s="5">
        <v>1002</v>
      </c>
    </row>
    <row r="849" spans="1:10" x14ac:dyDescent="0.35">
      <c r="A849" s="1">
        <v>45204</v>
      </c>
      <c r="B849" s="2">
        <f>YEAR(Sales_Dataset[[#This Row],[Order Date]])</f>
        <v>2023</v>
      </c>
      <c r="C849" s="2">
        <f>MONTH(Sales_Dataset[[#This Row],[Order Date]])</f>
        <v>10</v>
      </c>
      <c r="D849" t="s">
        <v>405</v>
      </c>
      <c r="E849" t="s">
        <v>15</v>
      </c>
      <c r="F849" t="s">
        <v>24</v>
      </c>
      <c r="G849" t="s">
        <v>27</v>
      </c>
      <c r="H849" s="5">
        <v>6109</v>
      </c>
      <c r="I849">
        <v>9</v>
      </c>
      <c r="J849" s="5">
        <v>3040</v>
      </c>
    </row>
    <row r="850" spans="1:10" x14ac:dyDescent="0.35">
      <c r="A850" s="1">
        <v>45204</v>
      </c>
      <c r="B850" s="2">
        <f>YEAR(Sales_Dataset[[#This Row],[Order Date]])</f>
        <v>2023</v>
      </c>
      <c r="C850" s="2">
        <f>MONTH(Sales_Dataset[[#This Row],[Order Date]])</f>
        <v>10</v>
      </c>
      <c r="D850" t="s">
        <v>405</v>
      </c>
      <c r="E850" t="s">
        <v>15</v>
      </c>
      <c r="F850" t="s">
        <v>10</v>
      </c>
      <c r="G850" t="s">
        <v>11</v>
      </c>
      <c r="H850" s="5">
        <v>4628</v>
      </c>
      <c r="I850">
        <v>17</v>
      </c>
      <c r="J850" s="5">
        <v>1491</v>
      </c>
    </row>
    <row r="851" spans="1:10" x14ac:dyDescent="0.35">
      <c r="A851" s="1">
        <v>45204</v>
      </c>
      <c r="B851" s="2">
        <f>YEAR(Sales_Dataset[[#This Row],[Order Date]])</f>
        <v>2023</v>
      </c>
      <c r="C851" s="2">
        <f>MONTH(Sales_Dataset[[#This Row],[Order Date]])</f>
        <v>10</v>
      </c>
      <c r="D851" t="s">
        <v>545</v>
      </c>
      <c r="E851" t="s">
        <v>9</v>
      </c>
      <c r="F851" t="s">
        <v>18</v>
      </c>
      <c r="G851" t="s">
        <v>30</v>
      </c>
      <c r="H851" s="5">
        <v>6402</v>
      </c>
      <c r="I851">
        <v>19</v>
      </c>
      <c r="J851" s="5">
        <v>2770</v>
      </c>
    </row>
    <row r="852" spans="1:10" x14ac:dyDescent="0.35">
      <c r="A852" s="1">
        <v>45204</v>
      </c>
      <c r="B852" s="2">
        <f>YEAR(Sales_Dataset[[#This Row],[Order Date]])</f>
        <v>2023</v>
      </c>
      <c r="C852" s="2">
        <f>MONTH(Sales_Dataset[[#This Row],[Order Date]])</f>
        <v>10</v>
      </c>
      <c r="D852" t="s">
        <v>545</v>
      </c>
      <c r="E852" t="s">
        <v>9</v>
      </c>
      <c r="F852" t="s">
        <v>10</v>
      </c>
      <c r="G852" t="s">
        <v>16</v>
      </c>
      <c r="H852" s="5">
        <v>5916</v>
      </c>
      <c r="I852">
        <v>19</v>
      </c>
      <c r="J852" s="5">
        <v>1594</v>
      </c>
    </row>
    <row r="853" spans="1:10" x14ac:dyDescent="0.35">
      <c r="A853" s="1">
        <v>45206</v>
      </c>
      <c r="B853" s="2">
        <f>YEAR(Sales_Dataset[[#This Row],[Order Date]])</f>
        <v>2023</v>
      </c>
      <c r="C853" s="2">
        <f>MONTH(Sales_Dataset[[#This Row],[Order Date]])</f>
        <v>10</v>
      </c>
      <c r="D853" t="s">
        <v>239</v>
      </c>
      <c r="E853" t="s">
        <v>13</v>
      </c>
      <c r="F853" t="s">
        <v>24</v>
      </c>
      <c r="G853" t="s">
        <v>27</v>
      </c>
      <c r="H853" s="5">
        <v>3900</v>
      </c>
      <c r="I853">
        <v>9</v>
      </c>
      <c r="J853" s="5">
        <v>115</v>
      </c>
    </row>
    <row r="854" spans="1:10" x14ac:dyDescent="0.35">
      <c r="A854" s="1">
        <v>45210</v>
      </c>
      <c r="B854" s="2">
        <f>YEAR(Sales_Dataset[[#This Row],[Order Date]])</f>
        <v>2023</v>
      </c>
      <c r="C854" s="2">
        <f>MONTH(Sales_Dataset[[#This Row],[Order Date]])</f>
        <v>10</v>
      </c>
      <c r="D854" t="s">
        <v>341</v>
      </c>
      <c r="E854" t="s">
        <v>15</v>
      </c>
      <c r="F854" t="s">
        <v>10</v>
      </c>
      <c r="G854" t="s">
        <v>41</v>
      </c>
      <c r="H854" s="5">
        <v>5152</v>
      </c>
      <c r="I854">
        <v>14</v>
      </c>
      <c r="J854" s="5">
        <v>2045</v>
      </c>
    </row>
    <row r="855" spans="1:10" x14ac:dyDescent="0.35">
      <c r="A855" s="1">
        <v>45212</v>
      </c>
      <c r="B855" s="2">
        <f>YEAR(Sales_Dataset[[#This Row],[Order Date]])</f>
        <v>2023</v>
      </c>
      <c r="C855" s="2">
        <f>MONTH(Sales_Dataset[[#This Row],[Order Date]])</f>
        <v>10</v>
      </c>
      <c r="D855" t="s">
        <v>223</v>
      </c>
      <c r="E855" t="s">
        <v>15</v>
      </c>
      <c r="F855" t="s">
        <v>10</v>
      </c>
      <c r="G855" t="s">
        <v>11</v>
      </c>
      <c r="H855" s="5">
        <v>7690</v>
      </c>
      <c r="I855">
        <v>4</v>
      </c>
      <c r="J855" s="5">
        <v>1134</v>
      </c>
    </row>
    <row r="856" spans="1:10" x14ac:dyDescent="0.35">
      <c r="A856" s="1">
        <v>45212</v>
      </c>
      <c r="B856" s="2">
        <f>YEAR(Sales_Dataset[[#This Row],[Order Date]])</f>
        <v>2023</v>
      </c>
      <c r="C856" s="2">
        <f>MONTH(Sales_Dataset[[#This Row],[Order Date]])</f>
        <v>10</v>
      </c>
      <c r="D856" t="s">
        <v>223</v>
      </c>
      <c r="E856" t="s">
        <v>15</v>
      </c>
      <c r="F856" t="s">
        <v>24</v>
      </c>
      <c r="G856" t="s">
        <v>31</v>
      </c>
      <c r="H856" s="5">
        <v>912</v>
      </c>
      <c r="I856">
        <v>2</v>
      </c>
      <c r="J856" s="5">
        <v>246</v>
      </c>
    </row>
    <row r="857" spans="1:10" x14ac:dyDescent="0.35">
      <c r="A857" s="1">
        <v>45216</v>
      </c>
      <c r="B857" s="2">
        <f>YEAR(Sales_Dataset[[#This Row],[Order Date]])</f>
        <v>2023</v>
      </c>
      <c r="C857" s="2">
        <f>MONTH(Sales_Dataset[[#This Row],[Order Date]])</f>
        <v>10</v>
      </c>
      <c r="D857" t="s">
        <v>450</v>
      </c>
      <c r="E857" t="s">
        <v>22</v>
      </c>
      <c r="F857" t="s">
        <v>18</v>
      </c>
      <c r="G857" t="s">
        <v>39</v>
      </c>
      <c r="H857" s="5">
        <v>3839</v>
      </c>
      <c r="I857">
        <v>10</v>
      </c>
      <c r="J857" s="5">
        <v>1415</v>
      </c>
    </row>
    <row r="858" spans="1:10" x14ac:dyDescent="0.35">
      <c r="A858" s="1">
        <v>45216</v>
      </c>
      <c r="B858" s="2">
        <f>YEAR(Sales_Dataset[[#This Row],[Order Date]])</f>
        <v>2023</v>
      </c>
      <c r="C858" s="2">
        <f>MONTH(Sales_Dataset[[#This Row],[Order Date]])</f>
        <v>10</v>
      </c>
      <c r="D858" t="s">
        <v>658</v>
      </c>
      <c r="E858" t="s">
        <v>22</v>
      </c>
      <c r="F858" t="s">
        <v>10</v>
      </c>
      <c r="G858" t="s">
        <v>41</v>
      </c>
      <c r="H858" s="5">
        <v>7163</v>
      </c>
      <c r="I858">
        <v>1</v>
      </c>
      <c r="J858" s="5">
        <v>1536</v>
      </c>
    </row>
    <row r="859" spans="1:10" x14ac:dyDescent="0.35">
      <c r="A859" s="1">
        <v>45217</v>
      </c>
      <c r="B859" s="2">
        <f>YEAR(Sales_Dataset[[#This Row],[Order Date]])</f>
        <v>2023</v>
      </c>
      <c r="C859" s="2">
        <f>MONTH(Sales_Dataset[[#This Row],[Order Date]])</f>
        <v>10</v>
      </c>
      <c r="D859" t="s">
        <v>276</v>
      </c>
      <c r="E859" t="s">
        <v>13</v>
      </c>
      <c r="F859" t="s">
        <v>10</v>
      </c>
      <c r="G859" t="s">
        <v>23</v>
      </c>
      <c r="H859" s="5">
        <v>721</v>
      </c>
      <c r="I859">
        <v>13</v>
      </c>
      <c r="J859" s="5">
        <v>258</v>
      </c>
    </row>
    <row r="860" spans="1:10" x14ac:dyDescent="0.35">
      <c r="A860" s="1">
        <v>45217</v>
      </c>
      <c r="B860" s="2">
        <f>YEAR(Sales_Dataset[[#This Row],[Order Date]])</f>
        <v>2023</v>
      </c>
      <c r="C860" s="2">
        <f>MONTH(Sales_Dataset[[#This Row],[Order Date]])</f>
        <v>10</v>
      </c>
      <c r="D860" t="s">
        <v>276</v>
      </c>
      <c r="E860" t="s">
        <v>13</v>
      </c>
      <c r="F860" t="s">
        <v>10</v>
      </c>
      <c r="G860" t="s">
        <v>23</v>
      </c>
      <c r="H860" s="5">
        <v>8364</v>
      </c>
      <c r="I860">
        <v>17</v>
      </c>
      <c r="J860" s="5">
        <v>3055</v>
      </c>
    </row>
    <row r="861" spans="1:10" x14ac:dyDescent="0.35">
      <c r="A861" s="1">
        <v>45217</v>
      </c>
      <c r="B861" s="2">
        <f>YEAR(Sales_Dataset[[#This Row],[Order Date]])</f>
        <v>2023</v>
      </c>
      <c r="C861" s="2">
        <f>MONTH(Sales_Dataset[[#This Row],[Order Date]])</f>
        <v>10</v>
      </c>
      <c r="D861" t="s">
        <v>276</v>
      </c>
      <c r="E861" t="s">
        <v>13</v>
      </c>
      <c r="F861" t="s">
        <v>24</v>
      </c>
      <c r="G861" t="s">
        <v>51</v>
      </c>
      <c r="H861" s="5">
        <v>5234</v>
      </c>
      <c r="I861">
        <v>15</v>
      </c>
      <c r="J861" s="5">
        <v>2021</v>
      </c>
    </row>
    <row r="862" spans="1:10" x14ac:dyDescent="0.35">
      <c r="A862" s="1">
        <v>45217</v>
      </c>
      <c r="B862" s="2">
        <f>YEAR(Sales_Dataset[[#This Row],[Order Date]])</f>
        <v>2023</v>
      </c>
      <c r="C862" s="2">
        <f>MONTH(Sales_Dataset[[#This Row],[Order Date]])</f>
        <v>10</v>
      </c>
      <c r="D862" t="s">
        <v>797</v>
      </c>
      <c r="E862" t="s">
        <v>36</v>
      </c>
      <c r="F862" t="s">
        <v>18</v>
      </c>
      <c r="G862" t="s">
        <v>19</v>
      </c>
      <c r="H862" s="5">
        <v>7870</v>
      </c>
      <c r="I862">
        <v>15</v>
      </c>
      <c r="J862" s="5">
        <v>1057</v>
      </c>
    </row>
    <row r="863" spans="1:10" x14ac:dyDescent="0.35">
      <c r="A863" s="1">
        <v>45219</v>
      </c>
      <c r="B863" s="2">
        <f>YEAR(Sales_Dataset[[#This Row],[Order Date]])</f>
        <v>2023</v>
      </c>
      <c r="C863" s="2">
        <f>MONTH(Sales_Dataset[[#This Row],[Order Date]])</f>
        <v>10</v>
      </c>
      <c r="D863" t="s">
        <v>403</v>
      </c>
      <c r="E863" t="s">
        <v>15</v>
      </c>
      <c r="F863" t="s">
        <v>18</v>
      </c>
      <c r="G863" t="s">
        <v>39</v>
      </c>
      <c r="H863" s="5">
        <v>5899</v>
      </c>
      <c r="I863">
        <v>6</v>
      </c>
      <c r="J863" s="5">
        <v>2264</v>
      </c>
    </row>
    <row r="864" spans="1:10" x14ac:dyDescent="0.35">
      <c r="A864" s="1">
        <v>45223</v>
      </c>
      <c r="B864" s="2">
        <f>YEAR(Sales_Dataset[[#This Row],[Order Date]])</f>
        <v>2023</v>
      </c>
      <c r="C864" s="2">
        <f>MONTH(Sales_Dataset[[#This Row],[Order Date]])</f>
        <v>10</v>
      </c>
      <c r="D864" t="s">
        <v>471</v>
      </c>
      <c r="E864" t="s">
        <v>15</v>
      </c>
      <c r="F864" t="s">
        <v>24</v>
      </c>
      <c r="G864" t="s">
        <v>25</v>
      </c>
      <c r="H864" s="5">
        <v>717</v>
      </c>
      <c r="I864">
        <v>16</v>
      </c>
      <c r="J864" s="5">
        <v>158</v>
      </c>
    </row>
    <row r="865" spans="1:10" x14ac:dyDescent="0.35">
      <c r="A865" s="1">
        <v>45223</v>
      </c>
      <c r="B865" s="2">
        <f>YEAR(Sales_Dataset[[#This Row],[Order Date]])</f>
        <v>2023</v>
      </c>
      <c r="C865" s="2">
        <f>MONTH(Sales_Dataset[[#This Row],[Order Date]])</f>
        <v>10</v>
      </c>
      <c r="D865" t="s">
        <v>471</v>
      </c>
      <c r="E865" t="s">
        <v>15</v>
      </c>
      <c r="F865" t="s">
        <v>24</v>
      </c>
      <c r="G865" t="s">
        <v>31</v>
      </c>
      <c r="H865" s="5">
        <v>508</v>
      </c>
      <c r="I865">
        <v>17</v>
      </c>
      <c r="J865" s="5">
        <v>177</v>
      </c>
    </row>
    <row r="866" spans="1:10" x14ac:dyDescent="0.35">
      <c r="A866" s="1">
        <v>45224</v>
      </c>
      <c r="B866" s="2">
        <f>YEAR(Sales_Dataset[[#This Row],[Order Date]])</f>
        <v>2023</v>
      </c>
      <c r="C866" s="2">
        <f>MONTH(Sales_Dataset[[#This Row],[Order Date]])</f>
        <v>10</v>
      </c>
      <c r="D866" t="s">
        <v>482</v>
      </c>
      <c r="E866" t="s">
        <v>22</v>
      </c>
      <c r="F866" t="s">
        <v>18</v>
      </c>
      <c r="G866" t="s">
        <v>33</v>
      </c>
      <c r="H866" s="5">
        <v>4510</v>
      </c>
      <c r="I866">
        <v>5</v>
      </c>
      <c r="J866" s="5">
        <v>1896</v>
      </c>
    </row>
    <row r="867" spans="1:10" x14ac:dyDescent="0.35">
      <c r="A867" s="1">
        <v>45226</v>
      </c>
      <c r="B867" s="2">
        <f>YEAR(Sales_Dataset[[#This Row],[Order Date]])</f>
        <v>2023</v>
      </c>
      <c r="C867" s="2">
        <f>MONTH(Sales_Dataset[[#This Row],[Order Date]])</f>
        <v>10</v>
      </c>
      <c r="D867" t="s">
        <v>225</v>
      </c>
      <c r="E867" t="s">
        <v>47</v>
      </c>
      <c r="F867" t="s">
        <v>10</v>
      </c>
      <c r="G867" t="s">
        <v>23</v>
      </c>
      <c r="H867" s="5">
        <v>2791</v>
      </c>
      <c r="I867">
        <v>14</v>
      </c>
      <c r="J867" s="5">
        <v>894</v>
      </c>
    </row>
    <row r="868" spans="1:10" x14ac:dyDescent="0.35">
      <c r="A868" s="1">
        <v>45226</v>
      </c>
      <c r="B868" s="2">
        <f>YEAR(Sales_Dataset[[#This Row],[Order Date]])</f>
        <v>2023</v>
      </c>
      <c r="C868" s="2">
        <f>MONTH(Sales_Dataset[[#This Row],[Order Date]])</f>
        <v>10</v>
      </c>
      <c r="D868" t="s">
        <v>225</v>
      </c>
      <c r="E868" t="s">
        <v>47</v>
      </c>
      <c r="F868" t="s">
        <v>24</v>
      </c>
      <c r="G868" t="s">
        <v>31</v>
      </c>
      <c r="H868" s="5">
        <v>6223</v>
      </c>
      <c r="I868">
        <v>3</v>
      </c>
      <c r="J868" s="5">
        <v>1478</v>
      </c>
    </row>
    <row r="869" spans="1:10" x14ac:dyDescent="0.35">
      <c r="A869" s="1">
        <v>45226</v>
      </c>
      <c r="B869" s="2">
        <f>YEAR(Sales_Dataset[[#This Row],[Order Date]])</f>
        <v>2023</v>
      </c>
      <c r="C869" s="2">
        <f>MONTH(Sales_Dataset[[#This Row],[Order Date]])</f>
        <v>10</v>
      </c>
      <c r="D869" t="s">
        <v>225</v>
      </c>
      <c r="E869" t="s">
        <v>47</v>
      </c>
      <c r="F869" t="s">
        <v>24</v>
      </c>
      <c r="G869" t="s">
        <v>27</v>
      </c>
      <c r="H869" s="5">
        <v>8943</v>
      </c>
      <c r="I869">
        <v>17</v>
      </c>
      <c r="J869" s="5">
        <v>3121</v>
      </c>
    </row>
    <row r="870" spans="1:10" x14ac:dyDescent="0.35">
      <c r="A870" s="1">
        <v>45226</v>
      </c>
      <c r="B870" s="2">
        <f>YEAR(Sales_Dataset[[#This Row],[Order Date]])</f>
        <v>2023</v>
      </c>
      <c r="C870" s="2">
        <f>MONTH(Sales_Dataset[[#This Row],[Order Date]])</f>
        <v>10</v>
      </c>
      <c r="D870" t="s">
        <v>225</v>
      </c>
      <c r="E870" t="s">
        <v>47</v>
      </c>
      <c r="F870" t="s">
        <v>10</v>
      </c>
      <c r="G870" t="s">
        <v>41</v>
      </c>
      <c r="H870" s="5">
        <v>3297</v>
      </c>
      <c r="I870">
        <v>12</v>
      </c>
      <c r="J870" s="5">
        <v>102</v>
      </c>
    </row>
    <row r="871" spans="1:10" x14ac:dyDescent="0.35">
      <c r="A871" s="1">
        <v>45227</v>
      </c>
      <c r="B871" s="2">
        <f>YEAR(Sales_Dataset[[#This Row],[Order Date]])</f>
        <v>2023</v>
      </c>
      <c r="C871" s="2">
        <f>MONTH(Sales_Dataset[[#This Row],[Order Date]])</f>
        <v>10</v>
      </c>
      <c r="D871" t="s">
        <v>672</v>
      </c>
      <c r="E871" t="s">
        <v>47</v>
      </c>
      <c r="F871" t="s">
        <v>24</v>
      </c>
      <c r="G871" t="s">
        <v>27</v>
      </c>
      <c r="H871" s="5">
        <v>7895</v>
      </c>
      <c r="I871">
        <v>1</v>
      </c>
      <c r="J871" s="5">
        <v>1005</v>
      </c>
    </row>
    <row r="872" spans="1:10" x14ac:dyDescent="0.35">
      <c r="A872" s="1">
        <v>45227</v>
      </c>
      <c r="B872" s="2">
        <f>YEAR(Sales_Dataset[[#This Row],[Order Date]])</f>
        <v>2023</v>
      </c>
      <c r="C872" s="2">
        <f>MONTH(Sales_Dataset[[#This Row],[Order Date]])</f>
        <v>10</v>
      </c>
      <c r="D872" t="s">
        <v>672</v>
      </c>
      <c r="E872" t="s">
        <v>47</v>
      </c>
      <c r="F872" t="s">
        <v>18</v>
      </c>
      <c r="G872" t="s">
        <v>19</v>
      </c>
      <c r="H872" s="5">
        <v>2740</v>
      </c>
      <c r="I872">
        <v>8</v>
      </c>
      <c r="J872" s="5">
        <v>558</v>
      </c>
    </row>
    <row r="873" spans="1:10" x14ac:dyDescent="0.35">
      <c r="A873" s="1">
        <v>45228</v>
      </c>
      <c r="B873" s="2">
        <f>YEAR(Sales_Dataset[[#This Row],[Order Date]])</f>
        <v>2023</v>
      </c>
      <c r="C873" s="2">
        <f>MONTH(Sales_Dataset[[#This Row],[Order Date]])</f>
        <v>10</v>
      </c>
      <c r="D873" t="s">
        <v>430</v>
      </c>
      <c r="E873" t="s">
        <v>36</v>
      </c>
      <c r="F873" t="s">
        <v>10</v>
      </c>
      <c r="G873" t="s">
        <v>11</v>
      </c>
      <c r="H873" s="5">
        <v>9438</v>
      </c>
      <c r="I873">
        <v>4</v>
      </c>
      <c r="J873" s="5">
        <v>1801</v>
      </c>
    </row>
    <row r="874" spans="1:10" x14ac:dyDescent="0.35">
      <c r="A874" s="1">
        <v>45232</v>
      </c>
      <c r="B874" s="2">
        <f>YEAR(Sales_Dataset[[#This Row],[Order Date]])</f>
        <v>2023</v>
      </c>
      <c r="C874" s="2">
        <f>MONTH(Sales_Dataset[[#This Row],[Order Date]])</f>
        <v>11</v>
      </c>
      <c r="D874" t="s">
        <v>506</v>
      </c>
      <c r="E874" t="s">
        <v>22</v>
      </c>
      <c r="F874" t="s">
        <v>18</v>
      </c>
      <c r="G874" t="s">
        <v>19</v>
      </c>
      <c r="H874" s="5">
        <v>2589</v>
      </c>
      <c r="I874">
        <v>11</v>
      </c>
      <c r="J874" s="5">
        <v>605</v>
      </c>
    </row>
    <row r="875" spans="1:10" x14ac:dyDescent="0.35">
      <c r="A875" s="1">
        <v>45234</v>
      </c>
      <c r="B875" s="2">
        <f>YEAR(Sales_Dataset[[#This Row],[Order Date]])</f>
        <v>2023</v>
      </c>
      <c r="C875" s="2">
        <f>MONTH(Sales_Dataset[[#This Row],[Order Date]])</f>
        <v>11</v>
      </c>
      <c r="D875" t="s">
        <v>638</v>
      </c>
      <c r="E875" t="s">
        <v>13</v>
      </c>
      <c r="F875" t="s">
        <v>24</v>
      </c>
      <c r="G875" t="s">
        <v>27</v>
      </c>
      <c r="H875" s="5">
        <v>9694</v>
      </c>
      <c r="I875">
        <v>1</v>
      </c>
      <c r="J875" s="5">
        <v>4361</v>
      </c>
    </row>
    <row r="876" spans="1:10" x14ac:dyDescent="0.35">
      <c r="A876" s="1">
        <v>45235</v>
      </c>
      <c r="B876" s="2">
        <f>YEAR(Sales_Dataset[[#This Row],[Order Date]])</f>
        <v>2023</v>
      </c>
      <c r="C876" s="2">
        <f>MONTH(Sales_Dataset[[#This Row],[Order Date]])</f>
        <v>11</v>
      </c>
      <c r="D876" t="s">
        <v>370</v>
      </c>
      <c r="E876" t="s">
        <v>15</v>
      </c>
      <c r="F876" t="s">
        <v>18</v>
      </c>
      <c r="G876" t="s">
        <v>19</v>
      </c>
      <c r="H876" s="5">
        <v>9084</v>
      </c>
      <c r="I876">
        <v>12</v>
      </c>
      <c r="J876" s="5">
        <v>3253</v>
      </c>
    </row>
    <row r="877" spans="1:10" x14ac:dyDescent="0.35">
      <c r="A877" s="1">
        <v>45236</v>
      </c>
      <c r="B877" s="2">
        <f>YEAR(Sales_Dataset[[#This Row],[Order Date]])</f>
        <v>2023</v>
      </c>
      <c r="C877" s="2">
        <f>MONTH(Sales_Dataset[[#This Row],[Order Date]])</f>
        <v>11</v>
      </c>
      <c r="D877" t="s">
        <v>333</v>
      </c>
      <c r="E877" t="s">
        <v>9</v>
      </c>
      <c r="F877" t="s">
        <v>18</v>
      </c>
      <c r="G877" t="s">
        <v>30</v>
      </c>
      <c r="H877" s="5">
        <v>4202</v>
      </c>
      <c r="I877">
        <v>3</v>
      </c>
      <c r="J877" s="5">
        <v>1171</v>
      </c>
    </row>
    <row r="878" spans="1:10" x14ac:dyDescent="0.35">
      <c r="A878" s="1">
        <v>45237</v>
      </c>
      <c r="B878" s="2">
        <f>YEAR(Sales_Dataset[[#This Row],[Order Date]])</f>
        <v>2023</v>
      </c>
      <c r="C878" s="2">
        <f>MONTH(Sales_Dataset[[#This Row],[Order Date]])</f>
        <v>11</v>
      </c>
      <c r="D878" t="s">
        <v>570</v>
      </c>
      <c r="E878" t="s">
        <v>9</v>
      </c>
      <c r="F878" t="s">
        <v>10</v>
      </c>
      <c r="G878" t="s">
        <v>41</v>
      </c>
      <c r="H878" s="5">
        <v>7484</v>
      </c>
      <c r="I878">
        <v>15</v>
      </c>
      <c r="J878" s="5">
        <v>2871</v>
      </c>
    </row>
    <row r="879" spans="1:10" x14ac:dyDescent="0.35">
      <c r="A879" s="1">
        <v>45237</v>
      </c>
      <c r="B879" s="2">
        <f>YEAR(Sales_Dataset[[#This Row],[Order Date]])</f>
        <v>2023</v>
      </c>
      <c r="C879" s="2">
        <f>MONTH(Sales_Dataset[[#This Row],[Order Date]])</f>
        <v>11</v>
      </c>
      <c r="D879" t="s">
        <v>570</v>
      </c>
      <c r="E879" t="s">
        <v>9</v>
      </c>
      <c r="F879" t="s">
        <v>24</v>
      </c>
      <c r="G879" t="s">
        <v>31</v>
      </c>
      <c r="H879" s="5">
        <v>7700</v>
      </c>
      <c r="I879">
        <v>1</v>
      </c>
      <c r="J879" s="5">
        <v>2712</v>
      </c>
    </row>
    <row r="880" spans="1:10" x14ac:dyDescent="0.35">
      <c r="A880" s="1">
        <v>45239</v>
      </c>
      <c r="B880" s="2">
        <f>YEAR(Sales_Dataset[[#This Row],[Order Date]])</f>
        <v>2023</v>
      </c>
      <c r="C880" s="2">
        <f>MONTH(Sales_Dataset[[#This Row],[Order Date]])</f>
        <v>11</v>
      </c>
      <c r="D880" t="s">
        <v>32</v>
      </c>
      <c r="E880" t="s">
        <v>13</v>
      </c>
      <c r="F880" t="s">
        <v>18</v>
      </c>
      <c r="G880" t="s">
        <v>19</v>
      </c>
      <c r="H880" s="5">
        <v>7600</v>
      </c>
      <c r="I880">
        <v>10</v>
      </c>
      <c r="J880" s="5">
        <v>1098</v>
      </c>
    </row>
    <row r="881" spans="1:10" x14ac:dyDescent="0.35">
      <c r="A881" s="1">
        <v>45239</v>
      </c>
      <c r="B881" s="2">
        <f>YEAR(Sales_Dataset[[#This Row],[Order Date]])</f>
        <v>2023</v>
      </c>
      <c r="C881" s="2">
        <f>MONTH(Sales_Dataset[[#This Row],[Order Date]])</f>
        <v>11</v>
      </c>
      <c r="D881" t="s">
        <v>32</v>
      </c>
      <c r="E881" t="s">
        <v>13</v>
      </c>
      <c r="F881" t="s">
        <v>18</v>
      </c>
      <c r="G881" t="s">
        <v>33</v>
      </c>
      <c r="H881" s="5">
        <v>7501</v>
      </c>
      <c r="I881">
        <v>18</v>
      </c>
      <c r="J881" s="5">
        <v>262</v>
      </c>
    </row>
    <row r="882" spans="1:10" x14ac:dyDescent="0.35">
      <c r="A882" s="1">
        <v>45242</v>
      </c>
      <c r="B882" s="2">
        <f>YEAR(Sales_Dataset[[#This Row],[Order Date]])</f>
        <v>2023</v>
      </c>
      <c r="C882" s="2">
        <f>MONTH(Sales_Dataset[[#This Row],[Order Date]])</f>
        <v>11</v>
      </c>
      <c r="D882" t="s">
        <v>26</v>
      </c>
      <c r="E882" t="s">
        <v>15</v>
      </c>
      <c r="F882" t="s">
        <v>24</v>
      </c>
      <c r="G882" t="s">
        <v>27</v>
      </c>
      <c r="H882" s="5">
        <v>2516</v>
      </c>
      <c r="I882">
        <v>19</v>
      </c>
      <c r="J882" s="5">
        <v>734</v>
      </c>
    </row>
    <row r="883" spans="1:10" x14ac:dyDescent="0.35">
      <c r="A883" s="1">
        <v>45242</v>
      </c>
      <c r="B883" s="2">
        <f>YEAR(Sales_Dataset[[#This Row],[Order Date]])</f>
        <v>2023</v>
      </c>
      <c r="C883" s="2">
        <f>MONTH(Sales_Dataset[[#This Row],[Order Date]])</f>
        <v>11</v>
      </c>
      <c r="D883" t="s">
        <v>334</v>
      </c>
      <c r="E883" t="s">
        <v>36</v>
      </c>
      <c r="F883" t="s">
        <v>18</v>
      </c>
      <c r="G883" t="s">
        <v>30</v>
      </c>
      <c r="H883" s="5">
        <v>4202</v>
      </c>
      <c r="I883">
        <v>3</v>
      </c>
      <c r="J883" s="5">
        <v>1171</v>
      </c>
    </row>
    <row r="884" spans="1:10" x14ac:dyDescent="0.35">
      <c r="A884" s="1">
        <v>45248</v>
      </c>
      <c r="B884" s="2">
        <f>YEAR(Sales_Dataset[[#This Row],[Order Date]])</f>
        <v>2023</v>
      </c>
      <c r="C884" s="2">
        <f>MONTH(Sales_Dataset[[#This Row],[Order Date]])</f>
        <v>11</v>
      </c>
      <c r="D884" t="s">
        <v>757</v>
      </c>
      <c r="E884" t="s">
        <v>22</v>
      </c>
      <c r="F884" t="s">
        <v>24</v>
      </c>
      <c r="G884" t="s">
        <v>51</v>
      </c>
      <c r="H884" s="5">
        <v>1476</v>
      </c>
      <c r="I884">
        <v>5</v>
      </c>
      <c r="J884" s="5">
        <v>247</v>
      </c>
    </row>
    <row r="885" spans="1:10" x14ac:dyDescent="0.35">
      <c r="A885" s="1">
        <v>45254</v>
      </c>
      <c r="B885" s="2">
        <f>YEAR(Sales_Dataset[[#This Row],[Order Date]])</f>
        <v>2023</v>
      </c>
      <c r="C885" s="2">
        <f>MONTH(Sales_Dataset[[#This Row],[Order Date]])</f>
        <v>11</v>
      </c>
      <c r="D885" t="s">
        <v>787</v>
      </c>
      <c r="E885" t="s">
        <v>13</v>
      </c>
      <c r="F885" t="s">
        <v>18</v>
      </c>
      <c r="G885" t="s">
        <v>33</v>
      </c>
      <c r="H885" s="5">
        <v>8644</v>
      </c>
      <c r="I885">
        <v>9</v>
      </c>
      <c r="J885" s="5">
        <v>1968</v>
      </c>
    </row>
    <row r="886" spans="1:10" x14ac:dyDescent="0.35">
      <c r="A886" s="1">
        <v>45255</v>
      </c>
      <c r="B886" s="2">
        <f>YEAR(Sales_Dataset[[#This Row],[Order Date]])</f>
        <v>2023</v>
      </c>
      <c r="C886" s="2">
        <f>MONTH(Sales_Dataset[[#This Row],[Order Date]])</f>
        <v>11</v>
      </c>
      <c r="D886" t="s">
        <v>608</v>
      </c>
      <c r="E886" t="s">
        <v>13</v>
      </c>
      <c r="F886" t="s">
        <v>24</v>
      </c>
      <c r="G886" t="s">
        <v>27</v>
      </c>
      <c r="H886" s="5">
        <v>1638</v>
      </c>
      <c r="I886">
        <v>13</v>
      </c>
      <c r="J886" s="5">
        <v>661</v>
      </c>
    </row>
    <row r="887" spans="1:10" x14ac:dyDescent="0.35">
      <c r="A887" s="1">
        <v>45258</v>
      </c>
      <c r="B887" s="2">
        <f>YEAR(Sales_Dataset[[#This Row],[Order Date]])</f>
        <v>2023</v>
      </c>
      <c r="C887" s="2">
        <f>MONTH(Sales_Dataset[[#This Row],[Order Date]])</f>
        <v>11</v>
      </c>
      <c r="D887" t="s">
        <v>463</v>
      </c>
      <c r="E887" t="s">
        <v>9</v>
      </c>
      <c r="F887" t="s">
        <v>10</v>
      </c>
      <c r="G887" t="s">
        <v>11</v>
      </c>
      <c r="H887" s="5">
        <v>6392</v>
      </c>
      <c r="I887">
        <v>18</v>
      </c>
      <c r="J887" s="5">
        <v>444</v>
      </c>
    </row>
    <row r="888" spans="1:10" x14ac:dyDescent="0.35">
      <c r="A888" s="1">
        <v>45258</v>
      </c>
      <c r="B888" s="2">
        <f>YEAR(Sales_Dataset[[#This Row],[Order Date]])</f>
        <v>2023</v>
      </c>
      <c r="C888" s="2">
        <f>MONTH(Sales_Dataset[[#This Row],[Order Date]])</f>
        <v>11</v>
      </c>
      <c r="D888" t="s">
        <v>741</v>
      </c>
      <c r="E888" t="s">
        <v>36</v>
      </c>
      <c r="F888" t="s">
        <v>24</v>
      </c>
      <c r="G888" t="s">
        <v>25</v>
      </c>
      <c r="H888" s="5">
        <v>847</v>
      </c>
      <c r="I888">
        <v>17</v>
      </c>
      <c r="J888" s="5">
        <v>355</v>
      </c>
    </row>
    <row r="889" spans="1:10" x14ac:dyDescent="0.35">
      <c r="A889" s="1">
        <v>45259</v>
      </c>
      <c r="B889" s="2">
        <f>YEAR(Sales_Dataset[[#This Row],[Order Date]])</f>
        <v>2023</v>
      </c>
      <c r="C889" s="2">
        <f>MONTH(Sales_Dataset[[#This Row],[Order Date]])</f>
        <v>11</v>
      </c>
      <c r="D889" t="s">
        <v>788</v>
      </c>
      <c r="E889" t="s">
        <v>36</v>
      </c>
      <c r="F889" t="s">
        <v>24</v>
      </c>
      <c r="G889" t="s">
        <v>25</v>
      </c>
      <c r="H889" s="5">
        <v>6672</v>
      </c>
      <c r="I889">
        <v>4</v>
      </c>
      <c r="J889" s="5">
        <v>3319</v>
      </c>
    </row>
    <row r="890" spans="1:10" x14ac:dyDescent="0.35">
      <c r="A890" s="1">
        <v>45260</v>
      </c>
      <c r="B890" s="2">
        <f>YEAR(Sales_Dataset[[#This Row],[Order Date]])</f>
        <v>2023</v>
      </c>
      <c r="C890" s="2">
        <f>MONTH(Sales_Dataset[[#This Row],[Order Date]])</f>
        <v>11</v>
      </c>
      <c r="D890" t="s">
        <v>555</v>
      </c>
      <c r="E890" t="s">
        <v>9</v>
      </c>
      <c r="F890" t="s">
        <v>18</v>
      </c>
      <c r="G890" t="s">
        <v>30</v>
      </c>
      <c r="H890" s="5">
        <v>655</v>
      </c>
      <c r="I890">
        <v>4</v>
      </c>
      <c r="J890" s="5">
        <v>297</v>
      </c>
    </row>
    <row r="891" spans="1:10" x14ac:dyDescent="0.35">
      <c r="A891" s="1">
        <v>45264</v>
      </c>
      <c r="B891" s="2">
        <f>YEAR(Sales_Dataset[[#This Row],[Order Date]])</f>
        <v>2023</v>
      </c>
      <c r="C891" s="2">
        <f>MONTH(Sales_Dataset[[#This Row],[Order Date]])</f>
        <v>12</v>
      </c>
      <c r="D891" t="s">
        <v>400</v>
      </c>
      <c r="E891" t="s">
        <v>22</v>
      </c>
      <c r="F891" t="s">
        <v>10</v>
      </c>
      <c r="G891" t="s">
        <v>41</v>
      </c>
      <c r="H891" s="5">
        <v>4164</v>
      </c>
      <c r="I891">
        <v>11</v>
      </c>
      <c r="J891" s="5">
        <v>905</v>
      </c>
    </row>
    <row r="892" spans="1:10" x14ac:dyDescent="0.35">
      <c r="A892" s="1">
        <v>45264</v>
      </c>
      <c r="B892" s="2">
        <f>YEAR(Sales_Dataset[[#This Row],[Order Date]])</f>
        <v>2023</v>
      </c>
      <c r="C892" s="2">
        <f>MONTH(Sales_Dataset[[#This Row],[Order Date]])</f>
        <v>12</v>
      </c>
      <c r="D892" t="s">
        <v>400</v>
      </c>
      <c r="E892" t="s">
        <v>22</v>
      </c>
      <c r="F892" t="s">
        <v>24</v>
      </c>
      <c r="G892" t="s">
        <v>25</v>
      </c>
      <c r="H892" s="5">
        <v>5389</v>
      </c>
      <c r="I892">
        <v>5</v>
      </c>
      <c r="J892" s="5">
        <v>2196</v>
      </c>
    </row>
    <row r="893" spans="1:10" x14ac:dyDescent="0.35">
      <c r="A893" s="1">
        <v>45267</v>
      </c>
      <c r="B893" s="2">
        <f>YEAR(Sales_Dataset[[#This Row],[Order Date]])</f>
        <v>2023</v>
      </c>
      <c r="C893" s="2">
        <f>MONTH(Sales_Dataset[[#This Row],[Order Date]])</f>
        <v>12</v>
      </c>
      <c r="D893" t="s">
        <v>219</v>
      </c>
      <c r="E893" t="s">
        <v>36</v>
      </c>
      <c r="F893" t="s">
        <v>10</v>
      </c>
      <c r="G893" t="s">
        <v>23</v>
      </c>
      <c r="H893" s="5">
        <v>7524</v>
      </c>
      <c r="I893">
        <v>15</v>
      </c>
      <c r="J893" s="5">
        <v>2308</v>
      </c>
    </row>
    <row r="894" spans="1:10" x14ac:dyDescent="0.35">
      <c r="A894" s="1">
        <v>45267</v>
      </c>
      <c r="B894" s="2">
        <f>YEAR(Sales_Dataset[[#This Row],[Order Date]])</f>
        <v>2023</v>
      </c>
      <c r="C894" s="2">
        <f>MONTH(Sales_Dataset[[#This Row],[Order Date]])</f>
        <v>12</v>
      </c>
      <c r="D894" t="s">
        <v>219</v>
      </c>
      <c r="E894" t="s">
        <v>36</v>
      </c>
      <c r="F894" t="s">
        <v>10</v>
      </c>
      <c r="G894" t="s">
        <v>16</v>
      </c>
      <c r="H894" s="5">
        <v>6864</v>
      </c>
      <c r="I894">
        <v>14</v>
      </c>
      <c r="J894" s="5">
        <v>1824</v>
      </c>
    </row>
    <row r="895" spans="1:10" x14ac:dyDescent="0.35">
      <c r="A895" s="1">
        <v>45268</v>
      </c>
      <c r="B895" s="2">
        <f>YEAR(Sales_Dataset[[#This Row],[Order Date]])</f>
        <v>2023</v>
      </c>
      <c r="C895" s="2">
        <f>MONTH(Sales_Dataset[[#This Row],[Order Date]])</f>
        <v>12</v>
      </c>
      <c r="D895" t="s">
        <v>668</v>
      </c>
      <c r="E895" t="s">
        <v>9</v>
      </c>
      <c r="F895" t="s">
        <v>10</v>
      </c>
      <c r="G895" t="s">
        <v>11</v>
      </c>
      <c r="H895" s="5">
        <v>2931</v>
      </c>
      <c r="I895">
        <v>7</v>
      </c>
      <c r="J895" s="5">
        <v>212</v>
      </c>
    </row>
    <row r="896" spans="1:10" x14ac:dyDescent="0.35">
      <c r="A896" s="1">
        <v>45269</v>
      </c>
      <c r="B896" s="2">
        <f>YEAR(Sales_Dataset[[#This Row],[Order Date]])</f>
        <v>2023</v>
      </c>
      <c r="C896" s="2">
        <f>MONTH(Sales_Dataset[[#This Row],[Order Date]])</f>
        <v>12</v>
      </c>
      <c r="D896" t="s">
        <v>210</v>
      </c>
      <c r="E896" t="s">
        <v>36</v>
      </c>
      <c r="F896" t="s">
        <v>24</v>
      </c>
      <c r="G896" t="s">
        <v>31</v>
      </c>
      <c r="H896" s="5">
        <v>5322</v>
      </c>
      <c r="I896">
        <v>18</v>
      </c>
      <c r="J896" s="5">
        <v>1423</v>
      </c>
    </row>
    <row r="897" spans="1:10" x14ac:dyDescent="0.35">
      <c r="A897" s="1">
        <v>45273</v>
      </c>
      <c r="B897" s="2">
        <f>YEAR(Sales_Dataset[[#This Row],[Order Date]])</f>
        <v>2023</v>
      </c>
      <c r="C897" s="2">
        <f>MONTH(Sales_Dataset[[#This Row],[Order Date]])</f>
        <v>12</v>
      </c>
      <c r="D897" t="s">
        <v>289</v>
      </c>
      <c r="E897" t="s">
        <v>9</v>
      </c>
      <c r="F897" t="s">
        <v>10</v>
      </c>
      <c r="G897" t="s">
        <v>23</v>
      </c>
      <c r="H897" s="5">
        <v>5564</v>
      </c>
      <c r="I897">
        <v>11</v>
      </c>
      <c r="J897" s="5">
        <v>175</v>
      </c>
    </row>
    <row r="898" spans="1:10" x14ac:dyDescent="0.35">
      <c r="A898" s="1">
        <v>45273</v>
      </c>
      <c r="B898" s="2">
        <f>YEAR(Sales_Dataset[[#This Row],[Order Date]])</f>
        <v>2023</v>
      </c>
      <c r="C898" s="2">
        <f>MONTH(Sales_Dataset[[#This Row],[Order Date]])</f>
        <v>12</v>
      </c>
      <c r="D898" t="s">
        <v>289</v>
      </c>
      <c r="E898" t="s">
        <v>9</v>
      </c>
      <c r="F898" t="s">
        <v>10</v>
      </c>
      <c r="G898" t="s">
        <v>11</v>
      </c>
      <c r="H898" s="5">
        <v>3953</v>
      </c>
      <c r="I898">
        <v>15</v>
      </c>
      <c r="J898" s="5">
        <v>1776</v>
      </c>
    </row>
    <row r="899" spans="1:10" x14ac:dyDescent="0.35">
      <c r="A899" s="1">
        <v>45274</v>
      </c>
      <c r="B899" s="2">
        <f>YEAR(Sales_Dataset[[#This Row],[Order Date]])</f>
        <v>2023</v>
      </c>
      <c r="C899" s="2">
        <f>MONTH(Sales_Dataset[[#This Row],[Order Date]])</f>
        <v>12</v>
      </c>
      <c r="D899" t="s">
        <v>48</v>
      </c>
      <c r="E899" t="s">
        <v>9</v>
      </c>
      <c r="F899" t="s">
        <v>18</v>
      </c>
      <c r="G899" t="s">
        <v>33</v>
      </c>
      <c r="H899" s="5">
        <v>6045</v>
      </c>
      <c r="I899">
        <v>4</v>
      </c>
      <c r="J899" s="5">
        <v>1606</v>
      </c>
    </row>
    <row r="900" spans="1:10" x14ac:dyDescent="0.35">
      <c r="A900" s="1">
        <v>45274</v>
      </c>
      <c r="B900" s="2">
        <f>YEAR(Sales_Dataset[[#This Row],[Order Date]])</f>
        <v>2023</v>
      </c>
      <c r="C900" s="2">
        <f>MONTH(Sales_Dataset[[#This Row],[Order Date]])</f>
        <v>12</v>
      </c>
      <c r="D900" t="s">
        <v>48</v>
      </c>
      <c r="E900" t="s">
        <v>9</v>
      </c>
      <c r="F900" t="s">
        <v>18</v>
      </c>
      <c r="G900" t="s">
        <v>19</v>
      </c>
      <c r="H900" s="5">
        <v>9337</v>
      </c>
      <c r="I900">
        <v>11</v>
      </c>
      <c r="J900" s="5">
        <v>554</v>
      </c>
    </row>
    <row r="901" spans="1:10" x14ac:dyDescent="0.35">
      <c r="A901" s="1">
        <v>45274</v>
      </c>
      <c r="B901" s="2">
        <f>YEAR(Sales_Dataset[[#This Row],[Order Date]])</f>
        <v>2023</v>
      </c>
      <c r="C901" s="2">
        <f>MONTH(Sales_Dataset[[#This Row],[Order Date]])</f>
        <v>12</v>
      </c>
      <c r="D901" t="s">
        <v>594</v>
      </c>
      <c r="E901" t="s">
        <v>9</v>
      </c>
      <c r="F901" t="s">
        <v>24</v>
      </c>
      <c r="G901" t="s">
        <v>27</v>
      </c>
      <c r="H901" s="5">
        <v>9132</v>
      </c>
      <c r="I901">
        <v>14</v>
      </c>
      <c r="J901" s="5">
        <v>3096</v>
      </c>
    </row>
    <row r="902" spans="1:10" x14ac:dyDescent="0.35">
      <c r="A902" s="1">
        <v>45276</v>
      </c>
      <c r="B902" s="2">
        <f>YEAR(Sales_Dataset[[#This Row],[Order Date]])</f>
        <v>2023</v>
      </c>
      <c r="C902" s="2">
        <f>MONTH(Sales_Dataset[[#This Row],[Order Date]])</f>
        <v>12</v>
      </c>
      <c r="D902" t="s">
        <v>118</v>
      </c>
      <c r="E902" t="s">
        <v>15</v>
      </c>
      <c r="F902" t="s">
        <v>24</v>
      </c>
      <c r="G902" t="s">
        <v>51</v>
      </c>
      <c r="H902" s="5">
        <v>9895</v>
      </c>
      <c r="I902">
        <v>20</v>
      </c>
      <c r="J902" s="5">
        <v>1598</v>
      </c>
    </row>
    <row r="903" spans="1:10" x14ac:dyDescent="0.35">
      <c r="A903" s="1">
        <v>45281</v>
      </c>
      <c r="B903" s="2">
        <f>YEAR(Sales_Dataset[[#This Row],[Order Date]])</f>
        <v>2023</v>
      </c>
      <c r="C903" s="2">
        <f>MONTH(Sales_Dataset[[#This Row],[Order Date]])</f>
        <v>12</v>
      </c>
      <c r="D903" t="s">
        <v>516</v>
      </c>
      <c r="E903" t="s">
        <v>22</v>
      </c>
      <c r="F903" t="s">
        <v>24</v>
      </c>
      <c r="G903" t="s">
        <v>25</v>
      </c>
      <c r="H903" s="5">
        <v>3260</v>
      </c>
      <c r="I903">
        <v>17</v>
      </c>
      <c r="J903" s="5">
        <v>207</v>
      </c>
    </row>
    <row r="904" spans="1:10" x14ac:dyDescent="0.35">
      <c r="A904" s="1">
        <v>45284</v>
      </c>
      <c r="B904" s="2">
        <f>YEAR(Sales_Dataset[[#This Row],[Order Date]])</f>
        <v>2023</v>
      </c>
      <c r="C904" s="2">
        <f>MONTH(Sales_Dataset[[#This Row],[Order Date]])</f>
        <v>12</v>
      </c>
      <c r="D904" t="s">
        <v>135</v>
      </c>
      <c r="E904" t="s">
        <v>22</v>
      </c>
      <c r="F904" t="s">
        <v>10</v>
      </c>
      <c r="G904" t="s">
        <v>41</v>
      </c>
      <c r="H904" s="5">
        <v>8346</v>
      </c>
      <c r="I904">
        <v>1</v>
      </c>
      <c r="J904" s="5">
        <v>1176</v>
      </c>
    </row>
    <row r="905" spans="1:10" x14ac:dyDescent="0.35">
      <c r="A905" s="1">
        <v>45284</v>
      </c>
      <c r="B905" s="2">
        <f>YEAR(Sales_Dataset[[#This Row],[Order Date]])</f>
        <v>2023</v>
      </c>
      <c r="C905" s="2">
        <f>MONTH(Sales_Dataset[[#This Row],[Order Date]])</f>
        <v>12</v>
      </c>
      <c r="D905" t="s">
        <v>135</v>
      </c>
      <c r="E905" t="s">
        <v>22</v>
      </c>
      <c r="F905" t="s">
        <v>24</v>
      </c>
      <c r="G905" t="s">
        <v>25</v>
      </c>
      <c r="H905" s="5">
        <v>6218</v>
      </c>
      <c r="I905">
        <v>5</v>
      </c>
      <c r="J905" s="5">
        <v>1125</v>
      </c>
    </row>
    <row r="906" spans="1:10" x14ac:dyDescent="0.35">
      <c r="A906" s="1">
        <v>45284</v>
      </c>
      <c r="B906" s="2">
        <f>YEAR(Sales_Dataset[[#This Row],[Order Date]])</f>
        <v>2023</v>
      </c>
      <c r="C906" s="2">
        <f>MONTH(Sales_Dataset[[#This Row],[Order Date]])</f>
        <v>12</v>
      </c>
      <c r="D906" t="s">
        <v>135</v>
      </c>
      <c r="E906" t="s">
        <v>22</v>
      </c>
      <c r="F906" t="s">
        <v>10</v>
      </c>
      <c r="G906" t="s">
        <v>16</v>
      </c>
      <c r="H906" s="5">
        <v>5167</v>
      </c>
      <c r="I906">
        <v>14</v>
      </c>
      <c r="J906" s="5">
        <v>253</v>
      </c>
    </row>
    <row r="907" spans="1:10" x14ac:dyDescent="0.35">
      <c r="A907" s="1">
        <v>45284</v>
      </c>
      <c r="B907" s="2">
        <f>YEAR(Sales_Dataset[[#This Row],[Order Date]])</f>
        <v>2023</v>
      </c>
      <c r="C907" s="2">
        <f>MONTH(Sales_Dataset[[#This Row],[Order Date]])</f>
        <v>12</v>
      </c>
      <c r="D907" t="s">
        <v>135</v>
      </c>
      <c r="E907" t="s">
        <v>22</v>
      </c>
      <c r="F907" t="s">
        <v>24</v>
      </c>
      <c r="G907" t="s">
        <v>31</v>
      </c>
      <c r="H907" s="5">
        <v>2799</v>
      </c>
      <c r="I907">
        <v>5</v>
      </c>
      <c r="J907" s="5">
        <v>1239</v>
      </c>
    </row>
    <row r="908" spans="1:10" x14ac:dyDescent="0.35">
      <c r="A908" s="1">
        <v>45287</v>
      </c>
      <c r="B908" s="2">
        <f>YEAR(Sales_Dataset[[#This Row],[Order Date]])</f>
        <v>2023</v>
      </c>
      <c r="C908" s="2">
        <f>MONTH(Sales_Dataset[[#This Row],[Order Date]])</f>
        <v>12</v>
      </c>
      <c r="D908" t="s">
        <v>576</v>
      </c>
      <c r="E908" t="s">
        <v>22</v>
      </c>
      <c r="F908" t="s">
        <v>24</v>
      </c>
      <c r="G908" t="s">
        <v>31</v>
      </c>
      <c r="H908" s="5">
        <v>3281</v>
      </c>
      <c r="I908">
        <v>7</v>
      </c>
      <c r="J908" s="5">
        <v>471</v>
      </c>
    </row>
    <row r="909" spans="1:10" x14ac:dyDescent="0.35">
      <c r="A909" s="1">
        <v>45288</v>
      </c>
      <c r="B909" s="2">
        <f>YEAR(Sales_Dataset[[#This Row],[Order Date]])</f>
        <v>2023</v>
      </c>
      <c r="C909" s="2">
        <f>MONTH(Sales_Dataset[[#This Row],[Order Date]])</f>
        <v>12</v>
      </c>
      <c r="D909" t="s">
        <v>447</v>
      </c>
      <c r="E909" t="s">
        <v>15</v>
      </c>
      <c r="F909" t="s">
        <v>24</v>
      </c>
      <c r="G909" t="s">
        <v>51</v>
      </c>
      <c r="H909" s="5">
        <v>9789</v>
      </c>
      <c r="I909">
        <v>18</v>
      </c>
      <c r="J909" s="5">
        <v>2071</v>
      </c>
    </row>
    <row r="910" spans="1:10" x14ac:dyDescent="0.35">
      <c r="A910" s="1">
        <v>45288</v>
      </c>
      <c r="B910" s="2">
        <f>YEAR(Sales_Dataset[[#This Row],[Order Date]])</f>
        <v>2023</v>
      </c>
      <c r="C910" s="2">
        <f>MONTH(Sales_Dataset[[#This Row],[Order Date]])</f>
        <v>12</v>
      </c>
      <c r="D910" t="s">
        <v>447</v>
      </c>
      <c r="E910" t="s">
        <v>15</v>
      </c>
      <c r="F910" t="s">
        <v>10</v>
      </c>
      <c r="G910" t="s">
        <v>11</v>
      </c>
      <c r="H910" s="5">
        <v>9229</v>
      </c>
      <c r="I910">
        <v>8</v>
      </c>
      <c r="J910" s="5">
        <v>4090</v>
      </c>
    </row>
    <row r="911" spans="1:10" x14ac:dyDescent="0.35">
      <c r="A911" s="1">
        <v>45288</v>
      </c>
      <c r="B911" s="2">
        <f>YEAR(Sales_Dataset[[#This Row],[Order Date]])</f>
        <v>2023</v>
      </c>
      <c r="C911" s="2">
        <f>MONTH(Sales_Dataset[[#This Row],[Order Date]])</f>
        <v>12</v>
      </c>
      <c r="D911" t="s">
        <v>553</v>
      </c>
      <c r="E911" t="s">
        <v>15</v>
      </c>
      <c r="F911" t="s">
        <v>10</v>
      </c>
      <c r="G911" t="s">
        <v>16</v>
      </c>
      <c r="H911" s="5">
        <v>9869</v>
      </c>
      <c r="I911">
        <v>12</v>
      </c>
      <c r="J911" s="5">
        <v>4299</v>
      </c>
    </row>
    <row r="912" spans="1:10" x14ac:dyDescent="0.35">
      <c r="A912" s="1">
        <v>45296</v>
      </c>
      <c r="B912" s="2">
        <f>YEAR(Sales_Dataset[[#This Row],[Order Date]])</f>
        <v>2024</v>
      </c>
      <c r="C912" s="2">
        <f>MONTH(Sales_Dataset[[#This Row],[Order Date]])</f>
        <v>1</v>
      </c>
      <c r="D912" t="s">
        <v>641</v>
      </c>
      <c r="E912" t="s">
        <v>9</v>
      </c>
      <c r="F912" t="s">
        <v>18</v>
      </c>
      <c r="G912" t="s">
        <v>33</v>
      </c>
      <c r="H912" s="5">
        <v>594</v>
      </c>
      <c r="I912">
        <v>19</v>
      </c>
      <c r="J912" s="5">
        <v>67</v>
      </c>
    </row>
    <row r="913" spans="1:10" x14ac:dyDescent="0.35">
      <c r="A913" s="1">
        <v>45301</v>
      </c>
      <c r="B913" s="2">
        <f>YEAR(Sales_Dataset[[#This Row],[Order Date]])</f>
        <v>2024</v>
      </c>
      <c r="C913" s="2">
        <f>MONTH(Sales_Dataset[[#This Row],[Order Date]])</f>
        <v>1</v>
      </c>
      <c r="D913" t="s">
        <v>261</v>
      </c>
      <c r="E913" t="s">
        <v>22</v>
      </c>
      <c r="F913" t="s">
        <v>10</v>
      </c>
      <c r="G913" t="s">
        <v>23</v>
      </c>
      <c r="H913" s="5">
        <v>8649</v>
      </c>
      <c r="I913">
        <v>13</v>
      </c>
      <c r="J913" s="5">
        <v>2631</v>
      </c>
    </row>
    <row r="914" spans="1:10" x14ac:dyDescent="0.35">
      <c r="A914" s="1">
        <v>45304</v>
      </c>
      <c r="B914" s="2">
        <f>YEAR(Sales_Dataset[[#This Row],[Order Date]])</f>
        <v>2024</v>
      </c>
      <c r="C914" s="2">
        <f>MONTH(Sales_Dataset[[#This Row],[Order Date]])</f>
        <v>1</v>
      </c>
      <c r="D914" t="s">
        <v>763</v>
      </c>
      <c r="E914" t="s">
        <v>22</v>
      </c>
      <c r="F914" t="s">
        <v>10</v>
      </c>
      <c r="G914" t="s">
        <v>41</v>
      </c>
      <c r="H914" s="5">
        <v>992</v>
      </c>
      <c r="I914">
        <v>6</v>
      </c>
      <c r="J914" s="5">
        <v>177</v>
      </c>
    </row>
    <row r="915" spans="1:10" x14ac:dyDescent="0.35">
      <c r="A915" s="1">
        <v>45304</v>
      </c>
      <c r="B915" s="2">
        <f>YEAR(Sales_Dataset[[#This Row],[Order Date]])</f>
        <v>2024</v>
      </c>
      <c r="C915" s="2">
        <f>MONTH(Sales_Dataset[[#This Row],[Order Date]])</f>
        <v>1</v>
      </c>
      <c r="D915" t="s">
        <v>763</v>
      </c>
      <c r="E915" t="s">
        <v>22</v>
      </c>
      <c r="F915" t="s">
        <v>18</v>
      </c>
      <c r="G915" t="s">
        <v>30</v>
      </c>
      <c r="H915" s="5">
        <v>4699</v>
      </c>
      <c r="I915">
        <v>18</v>
      </c>
      <c r="J915" s="5">
        <v>625</v>
      </c>
    </row>
    <row r="916" spans="1:10" x14ac:dyDescent="0.35">
      <c r="A916" s="1">
        <v>45308</v>
      </c>
      <c r="B916" s="2">
        <f>YEAR(Sales_Dataset[[#This Row],[Order Date]])</f>
        <v>2024</v>
      </c>
      <c r="C916" s="2">
        <f>MONTH(Sales_Dataset[[#This Row],[Order Date]])</f>
        <v>1</v>
      </c>
      <c r="D916" t="s">
        <v>736</v>
      </c>
      <c r="E916" t="s">
        <v>22</v>
      </c>
      <c r="F916" t="s">
        <v>18</v>
      </c>
      <c r="G916" t="s">
        <v>33</v>
      </c>
      <c r="H916" s="5">
        <v>3265</v>
      </c>
      <c r="I916">
        <v>16</v>
      </c>
      <c r="J916" s="5">
        <v>1390</v>
      </c>
    </row>
    <row r="917" spans="1:10" x14ac:dyDescent="0.35">
      <c r="A917" s="1">
        <v>45310</v>
      </c>
      <c r="B917" s="2">
        <f>YEAR(Sales_Dataset[[#This Row],[Order Date]])</f>
        <v>2024</v>
      </c>
      <c r="C917" s="2">
        <f>MONTH(Sales_Dataset[[#This Row],[Order Date]])</f>
        <v>1</v>
      </c>
      <c r="D917" t="s">
        <v>324</v>
      </c>
      <c r="E917" t="s">
        <v>22</v>
      </c>
      <c r="F917" t="s">
        <v>18</v>
      </c>
      <c r="G917" t="s">
        <v>33</v>
      </c>
      <c r="H917" s="5">
        <v>7792</v>
      </c>
      <c r="I917">
        <v>13</v>
      </c>
      <c r="J917" s="5">
        <v>1403</v>
      </c>
    </row>
    <row r="918" spans="1:10" x14ac:dyDescent="0.35">
      <c r="A918" s="1">
        <v>45310</v>
      </c>
      <c r="B918" s="2">
        <f>YEAR(Sales_Dataset[[#This Row],[Order Date]])</f>
        <v>2024</v>
      </c>
      <c r="C918" s="2">
        <f>MONTH(Sales_Dataset[[#This Row],[Order Date]])</f>
        <v>1</v>
      </c>
      <c r="D918" t="s">
        <v>324</v>
      </c>
      <c r="E918" t="s">
        <v>22</v>
      </c>
      <c r="F918" t="s">
        <v>24</v>
      </c>
      <c r="G918" t="s">
        <v>27</v>
      </c>
      <c r="H918" s="5">
        <v>2346</v>
      </c>
      <c r="I918">
        <v>14</v>
      </c>
      <c r="J918" s="5">
        <v>388</v>
      </c>
    </row>
    <row r="919" spans="1:10" x14ac:dyDescent="0.35">
      <c r="A919" s="1">
        <v>45313</v>
      </c>
      <c r="B919" s="2">
        <f>YEAR(Sales_Dataset[[#This Row],[Order Date]])</f>
        <v>2024</v>
      </c>
      <c r="C919" s="2">
        <f>MONTH(Sales_Dataset[[#This Row],[Order Date]])</f>
        <v>1</v>
      </c>
      <c r="D919" t="s">
        <v>283</v>
      </c>
      <c r="E919" t="s">
        <v>47</v>
      </c>
      <c r="F919" t="s">
        <v>18</v>
      </c>
      <c r="G919" t="s">
        <v>19</v>
      </c>
      <c r="H919" s="5">
        <v>1248</v>
      </c>
      <c r="I919">
        <v>13</v>
      </c>
      <c r="J919" s="5">
        <v>584</v>
      </c>
    </row>
    <row r="920" spans="1:10" x14ac:dyDescent="0.35">
      <c r="A920" s="1">
        <v>45313</v>
      </c>
      <c r="B920" s="2">
        <f>YEAR(Sales_Dataset[[#This Row],[Order Date]])</f>
        <v>2024</v>
      </c>
      <c r="C920" s="2">
        <f>MONTH(Sales_Dataset[[#This Row],[Order Date]])</f>
        <v>1</v>
      </c>
      <c r="D920" t="s">
        <v>283</v>
      </c>
      <c r="E920" t="s">
        <v>47</v>
      </c>
      <c r="F920" t="s">
        <v>18</v>
      </c>
      <c r="G920" t="s">
        <v>30</v>
      </c>
      <c r="H920" s="5">
        <v>3669</v>
      </c>
      <c r="I920">
        <v>14</v>
      </c>
      <c r="J920" s="5">
        <v>154</v>
      </c>
    </row>
    <row r="921" spans="1:10" x14ac:dyDescent="0.35">
      <c r="A921" s="1">
        <v>45313</v>
      </c>
      <c r="B921" s="2">
        <f>YEAR(Sales_Dataset[[#This Row],[Order Date]])</f>
        <v>2024</v>
      </c>
      <c r="C921" s="2">
        <f>MONTH(Sales_Dataset[[#This Row],[Order Date]])</f>
        <v>1</v>
      </c>
      <c r="D921" t="s">
        <v>283</v>
      </c>
      <c r="E921" t="s">
        <v>47</v>
      </c>
      <c r="F921" t="s">
        <v>18</v>
      </c>
      <c r="G921" t="s">
        <v>33</v>
      </c>
      <c r="H921" s="5">
        <v>514</v>
      </c>
      <c r="I921">
        <v>15</v>
      </c>
      <c r="J921" s="5">
        <v>109</v>
      </c>
    </row>
    <row r="922" spans="1:10" x14ac:dyDescent="0.35">
      <c r="A922" s="1">
        <v>45314</v>
      </c>
      <c r="B922" s="2">
        <f>YEAR(Sales_Dataset[[#This Row],[Order Date]])</f>
        <v>2024</v>
      </c>
      <c r="C922" s="2">
        <f>MONTH(Sales_Dataset[[#This Row],[Order Date]])</f>
        <v>1</v>
      </c>
      <c r="D922" t="s">
        <v>37</v>
      </c>
      <c r="E922" t="s">
        <v>22</v>
      </c>
      <c r="F922" t="s">
        <v>18</v>
      </c>
      <c r="G922" t="s">
        <v>33</v>
      </c>
      <c r="H922" s="5">
        <v>1629</v>
      </c>
      <c r="I922">
        <v>1</v>
      </c>
      <c r="J922" s="5">
        <v>265</v>
      </c>
    </row>
    <row r="923" spans="1:10" x14ac:dyDescent="0.35">
      <c r="A923" s="1">
        <v>45315</v>
      </c>
      <c r="B923" s="2">
        <f>YEAR(Sales_Dataset[[#This Row],[Order Date]])</f>
        <v>2024</v>
      </c>
      <c r="C923" s="2">
        <f>MONTH(Sales_Dataset[[#This Row],[Order Date]])</f>
        <v>1</v>
      </c>
      <c r="D923" t="s">
        <v>236</v>
      </c>
      <c r="E923" t="s">
        <v>36</v>
      </c>
      <c r="F923" t="s">
        <v>10</v>
      </c>
      <c r="G923" t="s">
        <v>16</v>
      </c>
      <c r="H923" s="5">
        <v>3423</v>
      </c>
      <c r="I923">
        <v>4</v>
      </c>
      <c r="J923" s="5">
        <v>804</v>
      </c>
    </row>
    <row r="924" spans="1:10" x14ac:dyDescent="0.35">
      <c r="A924" s="1">
        <v>45319</v>
      </c>
      <c r="B924" s="2">
        <f>YEAR(Sales_Dataset[[#This Row],[Order Date]])</f>
        <v>2024</v>
      </c>
      <c r="C924" s="2">
        <f>MONTH(Sales_Dataset[[#This Row],[Order Date]])</f>
        <v>1</v>
      </c>
      <c r="D924" t="s">
        <v>67</v>
      </c>
      <c r="E924" t="s">
        <v>9</v>
      </c>
      <c r="F924" t="s">
        <v>18</v>
      </c>
      <c r="G924" t="s">
        <v>19</v>
      </c>
      <c r="H924" s="5">
        <v>2025</v>
      </c>
      <c r="I924">
        <v>1</v>
      </c>
      <c r="J924" s="5">
        <v>528</v>
      </c>
    </row>
    <row r="925" spans="1:10" x14ac:dyDescent="0.35">
      <c r="A925" s="1">
        <v>45319</v>
      </c>
      <c r="B925" s="2">
        <f>YEAR(Sales_Dataset[[#This Row],[Order Date]])</f>
        <v>2024</v>
      </c>
      <c r="C925" s="2">
        <f>MONTH(Sales_Dataset[[#This Row],[Order Date]])</f>
        <v>1</v>
      </c>
      <c r="D925" t="s">
        <v>67</v>
      </c>
      <c r="E925" t="s">
        <v>9</v>
      </c>
      <c r="F925" t="s">
        <v>18</v>
      </c>
      <c r="G925" t="s">
        <v>39</v>
      </c>
      <c r="H925" s="5">
        <v>6800</v>
      </c>
      <c r="I925">
        <v>16</v>
      </c>
      <c r="J925" s="5">
        <v>167</v>
      </c>
    </row>
    <row r="926" spans="1:10" x14ac:dyDescent="0.35">
      <c r="A926" s="1">
        <v>45323</v>
      </c>
      <c r="B926" s="2">
        <f>YEAR(Sales_Dataset[[#This Row],[Order Date]])</f>
        <v>2024</v>
      </c>
      <c r="C926" s="2">
        <f>MONTH(Sales_Dataset[[#This Row],[Order Date]])</f>
        <v>2</v>
      </c>
      <c r="D926" t="s">
        <v>104</v>
      </c>
      <c r="E926" t="s">
        <v>22</v>
      </c>
      <c r="F926" t="s">
        <v>18</v>
      </c>
      <c r="G926" t="s">
        <v>39</v>
      </c>
      <c r="H926" s="5">
        <v>3433</v>
      </c>
      <c r="I926">
        <v>10</v>
      </c>
      <c r="J926" s="5">
        <v>1169</v>
      </c>
    </row>
    <row r="927" spans="1:10" x14ac:dyDescent="0.35">
      <c r="A927" s="1">
        <v>45323</v>
      </c>
      <c r="B927" s="2">
        <f>YEAR(Sales_Dataset[[#This Row],[Order Date]])</f>
        <v>2024</v>
      </c>
      <c r="C927" s="2">
        <f>MONTH(Sales_Dataset[[#This Row],[Order Date]])</f>
        <v>2</v>
      </c>
      <c r="D927" t="s">
        <v>104</v>
      </c>
      <c r="E927" t="s">
        <v>22</v>
      </c>
      <c r="F927" t="s">
        <v>18</v>
      </c>
      <c r="G927" t="s">
        <v>39</v>
      </c>
      <c r="H927" s="5">
        <v>3887</v>
      </c>
      <c r="I927">
        <v>1</v>
      </c>
      <c r="J927" s="5">
        <v>1490</v>
      </c>
    </row>
    <row r="928" spans="1:10" x14ac:dyDescent="0.35">
      <c r="A928" s="1">
        <v>45324</v>
      </c>
      <c r="B928" s="2">
        <f>YEAR(Sales_Dataset[[#This Row],[Order Date]])</f>
        <v>2024</v>
      </c>
      <c r="C928" s="2">
        <f>MONTH(Sales_Dataset[[#This Row],[Order Date]])</f>
        <v>2</v>
      </c>
      <c r="D928" t="s">
        <v>220</v>
      </c>
      <c r="E928" t="s">
        <v>47</v>
      </c>
      <c r="F928" t="s">
        <v>24</v>
      </c>
      <c r="G928" t="s">
        <v>27</v>
      </c>
      <c r="H928" s="5">
        <v>4215</v>
      </c>
      <c r="I928">
        <v>14</v>
      </c>
      <c r="J928" s="5">
        <v>432</v>
      </c>
    </row>
    <row r="929" spans="1:10" x14ac:dyDescent="0.35">
      <c r="A929" s="1">
        <v>45329</v>
      </c>
      <c r="B929" s="2">
        <f>YEAR(Sales_Dataset[[#This Row],[Order Date]])</f>
        <v>2024</v>
      </c>
      <c r="C929" s="2">
        <f>MONTH(Sales_Dataset[[#This Row],[Order Date]])</f>
        <v>2</v>
      </c>
      <c r="D929" t="s">
        <v>770</v>
      </c>
      <c r="E929" t="s">
        <v>47</v>
      </c>
      <c r="F929" t="s">
        <v>10</v>
      </c>
      <c r="G929" t="s">
        <v>23</v>
      </c>
      <c r="H929" s="5">
        <v>8851</v>
      </c>
      <c r="I929">
        <v>12</v>
      </c>
      <c r="J929" s="5">
        <v>999</v>
      </c>
    </row>
    <row r="930" spans="1:10" x14ac:dyDescent="0.35">
      <c r="A930" s="1">
        <v>45329</v>
      </c>
      <c r="B930" s="2">
        <f>YEAR(Sales_Dataset[[#This Row],[Order Date]])</f>
        <v>2024</v>
      </c>
      <c r="C930" s="2">
        <f>MONTH(Sales_Dataset[[#This Row],[Order Date]])</f>
        <v>2</v>
      </c>
      <c r="D930" t="s">
        <v>775</v>
      </c>
      <c r="E930" t="s">
        <v>9</v>
      </c>
      <c r="F930" t="s">
        <v>10</v>
      </c>
      <c r="G930" t="s">
        <v>16</v>
      </c>
      <c r="H930" s="5">
        <v>2258</v>
      </c>
      <c r="I930">
        <v>18</v>
      </c>
      <c r="J930" s="5">
        <v>135</v>
      </c>
    </row>
    <row r="931" spans="1:10" x14ac:dyDescent="0.35">
      <c r="A931" s="1">
        <v>45332</v>
      </c>
      <c r="B931" s="2">
        <f>YEAR(Sales_Dataset[[#This Row],[Order Date]])</f>
        <v>2024</v>
      </c>
      <c r="C931" s="2">
        <f>MONTH(Sales_Dataset[[#This Row],[Order Date]])</f>
        <v>2</v>
      </c>
      <c r="D931" t="s">
        <v>454</v>
      </c>
      <c r="E931" t="s">
        <v>47</v>
      </c>
      <c r="F931" t="s">
        <v>24</v>
      </c>
      <c r="G931" t="s">
        <v>31</v>
      </c>
      <c r="H931" s="5">
        <v>3913</v>
      </c>
      <c r="I931">
        <v>15</v>
      </c>
      <c r="J931" s="5">
        <v>961</v>
      </c>
    </row>
    <row r="932" spans="1:10" x14ac:dyDescent="0.35">
      <c r="A932" s="1">
        <v>45333</v>
      </c>
      <c r="B932" s="2">
        <f>YEAR(Sales_Dataset[[#This Row],[Order Date]])</f>
        <v>2024</v>
      </c>
      <c r="C932" s="2">
        <f>MONTH(Sales_Dataset[[#This Row],[Order Date]])</f>
        <v>2</v>
      </c>
      <c r="D932" t="s">
        <v>409</v>
      </c>
      <c r="E932" t="s">
        <v>9</v>
      </c>
      <c r="F932" t="s">
        <v>24</v>
      </c>
      <c r="G932" t="s">
        <v>31</v>
      </c>
      <c r="H932" s="5">
        <v>5632</v>
      </c>
      <c r="I932">
        <v>20</v>
      </c>
      <c r="J932" s="5">
        <v>2358</v>
      </c>
    </row>
    <row r="933" spans="1:10" x14ac:dyDescent="0.35">
      <c r="A933" s="1">
        <v>45333</v>
      </c>
      <c r="B933" s="2">
        <f>YEAR(Sales_Dataset[[#This Row],[Order Date]])</f>
        <v>2024</v>
      </c>
      <c r="C933" s="2">
        <f>MONTH(Sales_Dataset[[#This Row],[Order Date]])</f>
        <v>2</v>
      </c>
      <c r="D933" t="s">
        <v>732</v>
      </c>
      <c r="E933" t="s">
        <v>13</v>
      </c>
      <c r="F933" t="s">
        <v>18</v>
      </c>
      <c r="G933" t="s">
        <v>19</v>
      </c>
      <c r="H933" s="5">
        <v>7626</v>
      </c>
      <c r="I933">
        <v>5</v>
      </c>
      <c r="J933" s="5">
        <v>229</v>
      </c>
    </row>
    <row r="934" spans="1:10" x14ac:dyDescent="0.35">
      <c r="A934" s="1">
        <v>45334</v>
      </c>
      <c r="B934" s="2">
        <f>YEAR(Sales_Dataset[[#This Row],[Order Date]])</f>
        <v>2024</v>
      </c>
      <c r="C934" s="2">
        <f>MONTH(Sales_Dataset[[#This Row],[Order Date]])</f>
        <v>2</v>
      </c>
      <c r="D934" t="s">
        <v>319</v>
      </c>
      <c r="E934" t="s">
        <v>13</v>
      </c>
      <c r="F934" t="s">
        <v>24</v>
      </c>
      <c r="G934" t="s">
        <v>27</v>
      </c>
      <c r="H934" s="5">
        <v>7497</v>
      </c>
      <c r="I934">
        <v>18</v>
      </c>
      <c r="J934" s="5">
        <v>319</v>
      </c>
    </row>
    <row r="935" spans="1:10" x14ac:dyDescent="0.35">
      <c r="A935" s="1">
        <v>45335</v>
      </c>
      <c r="B935" s="2">
        <f>YEAR(Sales_Dataset[[#This Row],[Order Date]])</f>
        <v>2024</v>
      </c>
      <c r="C935" s="2">
        <f>MONTH(Sales_Dataset[[#This Row],[Order Date]])</f>
        <v>2</v>
      </c>
      <c r="D935" t="s">
        <v>699</v>
      </c>
      <c r="E935" t="s">
        <v>9</v>
      </c>
      <c r="F935" t="s">
        <v>18</v>
      </c>
      <c r="G935" t="s">
        <v>19</v>
      </c>
      <c r="H935" s="5">
        <v>2386</v>
      </c>
      <c r="I935">
        <v>3</v>
      </c>
      <c r="J935" s="5">
        <v>999</v>
      </c>
    </row>
    <row r="936" spans="1:10" x14ac:dyDescent="0.35">
      <c r="A936" s="1">
        <v>45338</v>
      </c>
      <c r="B936" s="2">
        <f>YEAR(Sales_Dataset[[#This Row],[Order Date]])</f>
        <v>2024</v>
      </c>
      <c r="C936" s="2">
        <f>MONTH(Sales_Dataset[[#This Row],[Order Date]])</f>
        <v>2</v>
      </c>
      <c r="D936" t="s">
        <v>102</v>
      </c>
      <c r="E936" t="s">
        <v>9</v>
      </c>
      <c r="F936" t="s">
        <v>18</v>
      </c>
      <c r="G936" t="s">
        <v>39</v>
      </c>
      <c r="H936" s="5">
        <v>1297</v>
      </c>
      <c r="I936">
        <v>7</v>
      </c>
      <c r="J936" s="5">
        <v>600</v>
      </c>
    </row>
    <row r="937" spans="1:10" x14ac:dyDescent="0.35">
      <c r="A937" s="1">
        <v>45338</v>
      </c>
      <c r="B937" s="2">
        <f>YEAR(Sales_Dataset[[#This Row],[Order Date]])</f>
        <v>2024</v>
      </c>
      <c r="C937" s="2">
        <f>MONTH(Sales_Dataset[[#This Row],[Order Date]])</f>
        <v>2</v>
      </c>
      <c r="D937" t="s">
        <v>102</v>
      </c>
      <c r="E937" t="s">
        <v>9</v>
      </c>
      <c r="F937" t="s">
        <v>10</v>
      </c>
      <c r="G937" t="s">
        <v>41</v>
      </c>
      <c r="H937" s="5">
        <v>7909</v>
      </c>
      <c r="I937">
        <v>19</v>
      </c>
      <c r="J937" s="5">
        <v>1942</v>
      </c>
    </row>
    <row r="938" spans="1:10" x14ac:dyDescent="0.35">
      <c r="A938" s="1">
        <v>45341</v>
      </c>
      <c r="B938" s="2">
        <f>YEAR(Sales_Dataset[[#This Row],[Order Date]])</f>
        <v>2024</v>
      </c>
      <c r="C938" s="2">
        <f>MONTH(Sales_Dataset[[#This Row],[Order Date]])</f>
        <v>2</v>
      </c>
      <c r="D938" t="s">
        <v>558</v>
      </c>
      <c r="E938" t="s">
        <v>9</v>
      </c>
      <c r="F938" t="s">
        <v>24</v>
      </c>
      <c r="G938" t="s">
        <v>25</v>
      </c>
      <c r="H938" s="5">
        <v>3756</v>
      </c>
      <c r="I938">
        <v>5</v>
      </c>
      <c r="J938" s="5">
        <v>1318</v>
      </c>
    </row>
    <row r="939" spans="1:10" x14ac:dyDescent="0.35">
      <c r="A939" s="1">
        <v>45342</v>
      </c>
      <c r="B939" s="2">
        <f>YEAR(Sales_Dataset[[#This Row],[Order Date]])</f>
        <v>2024</v>
      </c>
      <c r="C939" s="2">
        <f>MONTH(Sales_Dataset[[#This Row],[Order Date]])</f>
        <v>2</v>
      </c>
      <c r="D939" t="s">
        <v>428</v>
      </c>
      <c r="E939" t="s">
        <v>36</v>
      </c>
      <c r="F939" t="s">
        <v>24</v>
      </c>
      <c r="G939" t="s">
        <v>25</v>
      </c>
      <c r="H939" s="5">
        <v>9024</v>
      </c>
      <c r="I939">
        <v>4</v>
      </c>
      <c r="J939" s="5">
        <v>730</v>
      </c>
    </row>
    <row r="940" spans="1:10" x14ac:dyDescent="0.35">
      <c r="A940" s="1">
        <v>45342</v>
      </c>
      <c r="B940" s="2">
        <f>YEAR(Sales_Dataset[[#This Row],[Order Date]])</f>
        <v>2024</v>
      </c>
      <c r="C940" s="2">
        <f>MONTH(Sales_Dataset[[#This Row],[Order Date]])</f>
        <v>2</v>
      </c>
      <c r="D940" t="s">
        <v>428</v>
      </c>
      <c r="E940" t="s">
        <v>36</v>
      </c>
      <c r="F940" t="s">
        <v>10</v>
      </c>
      <c r="G940" t="s">
        <v>23</v>
      </c>
      <c r="H940" s="5">
        <v>2468</v>
      </c>
      <c r="I940">
        <v>4</v>
      </c>
      <c r="J940" s="5">
        <v>418</v>
      </c>
    </row>
    <row r="941" spans="1:10" x14ac:dyDescent="0.35">
      <c r="A941" s="1">
        <v>45343</v>
      </c>
      <c r="B941" s="2">
        <f>YEAR(Sales_Dataset[[#This Row],[Order Date]])</f>
        <v>2024</v>
      </c>
      <c r="C941" s="2">
        <f>MONTH(Sales_Dataset[[#This Row],[Order Date]])</f>
        <v>2</v>
      </c>
      <c r="D941" t="s">
        <v>720</v>
      </c>
      <c r="E941" t="s">
        <v>15</v>
      </c>
      <c r="F941" t="s">
        <v>24</v>
      </c>
      <c r="G941" t="s">
        <v>51</v>
      </c>
      <c r="H941" s="5">
        <v>9752</v>
      </c>
      <c r="I941">
        <v>5</v>
      </c>
      <c r="J941" s="5">
        <v>3618</v>
      </c>
    </row>
    <row r="942" spans="1:10" x14ac:dyDescent="0.35">
      <c r="A942" s="1">
        <v>45347</v>
      </c>
      <c r="B942" s="2">
        <f>YEAR(Sales_Dataset[[#This Row],[Order Date]])</f>
        <v>2024</v>
      </c>
      <c r="C942" s="2">
        <f>MONTH(Sales_Dataset[[#This Row],[Order Date]])</f>
        <v>2</v>
      </c>
      <c r="D942" t="s">
        <v>207</v>
      </c>
      <c r="E942" t="s">
        <v>9</v>
      </c>
      <c r="F942" t="s">
        <v>10</v>
      </c>
      <c r="G942" t="s">
        <v>23</v>
      </c>
      <c r="H942" s="5">
        <v>9204</v>
      </c>
      <c r="I942">
        <v>16</v>
      </c>
      <c r="J942" s="5">
        <v>3289</v>
      </c>
    </row>
    <row r="943" spans="1:10" x14ac:dyDescent="0.35">
      <c r="A943" s="1">
        <v>45347</v>
      </c>
      <c r="B943" s="2">
        <f>YEAR(Sales_Dataset[[#This Row],[Order Date]])</f>
        <v>2024</v>
      </c>
      <c r="C943" s="2">
        <f>MONTH(Sales_Dataset[[#This Row],[Order Date]])</f>
        <v>2</v>
      </c>
      <c r="D943" t="s">
        <v>207</v>
      </c>
      <c r="E943" t="s">
        <v>9</v>
      </c>
      <c r="F943" t="s">
        <v>18</v>
      </c>
      <c r="G943" t="s">
        <v>33</v>
      </c>
      <c r="H943" s="5">
        <v>9894</v>
      </c>
      <c r="I943">
        <v>20</v>
      </c>
      <c r="J943" s="5">
        <v>3698</v>
      </c>
    </row>
    <row r="944" spans="1:10" x14ac:dyDescent="0.35">
      <c r="A944" s="1">
        <v>45350</v>
      </c>
      <c r="B944" s="2">
        <f>YEAR(Sales_Dataset[[#This Row],[Order Date]])</f>
        <v>2024</v>
      </c>
      <c r="C944" s="2">
        <f>MONTH(Sales_Dataset[[#This Row],[Order Date]])</f>
        <v>2</v>
      </c>
      <c r="D944" t="s">
        <v>436</v>
      </c>
      <c r="E944" t="s">
        <v>22</v>
      </c>
      <c r="F944" t="s">
        <v>24</v>
      </c>
      <c r="G944" t="s">
        <v>25</v>
      </c>
      <c r="H944" s="5">
        <v>5412</v>
      </c>
      <c r="I944">
        <v>18</v>
      </c>
      <c r="J944" s="5">
        <v>1192</v>
      </c>
    </row>
    <row r="945" spans="1:10" x14ac:dyDescent="0.35">
      <c r="A945" s="1">
        <v>45353</v>
      </c>
      <c r="B945" s="2">
        <f>YEAR(Sales_Dataset[[#This Row],[Order Date]])</f>
        <v>2024</v>
      </c>
      <c r="C945" s="2">
        <f>MONTH(Sales_Dataset[[#This Row],[Order Date]])</f>
        <v>3</v>
      </c>
      <c r="D945" t="s">
        <v>185</v>
      </c>
      <c r="E945" t="s">
        <v>47</v>
      </c>
      <c r="F945" t="s">
        <v>18</v>
      </c>
      <c r="G945" t="s">
        <v>30</v>
      </c>
      <c r="H945" s="5">
        <v>3348</v>
      </c>
      <c r="I945">
        <v>5</v>
      </c>
      <c r="J945" s="5">
        <v>568</v>
      </c>
    </row>
    <row r="946" spans="1:10" x14ac:dyDescent="0.35">
      <c r="A946" s="1">
        <v>45353</v>
      </c>
      <c r="B946" s="2">
        <f>YEAR(Sales_Dataset[[#This Row],[Order Date]])</f>
        <v>2024</v>
      </c>
      <c r="C946" s="2">
        <f>MONTH(Sales_Dataset[[#This Row],[Order Date]])</f>
        <v>3</v>
      </c>
      <c r="D946" t="s">
        <v>185</v>
      </c>
      <c r="E946" t="s">
        <v>47</v>
      </c>
      <c r="F946" t="s">
        <v>18</v>
      </c>
      <c r="G946" t="s">
        <v>19</v>
      </c>
      <c r="H946" s="5">
        <v>8856</v>
      </c>
      <c r="I946">
        <v>9</v>
      </c>
      <c r="J946" s="5">
        <v>2020</v>
      </c>
    </row>
    <row r="947" spans="1:10" x14ac:dyDescent="0.35">
      <c r="A947" s="1">
        <v>45355</v>
      </c>
      <c r="B947" s="2">
        <f>YEAR(Sales_Dataset[[#This Row],[Order Date]])</f>
        <v>2024</v>
      </c>
      <c r="C947" s="2">
        <f>MONTH(Sales_Dataset[[#This Row],[Order Date]])</f>
        <v>3</v>
      </c>
      <c r="D947" t="s">
        <v>657</v>
      </c>
      <c r="E947" t="s">
        <v>9</v>
      </c>
      <c r="F947" t="s">
        <v>18</v>
      </c>
      <c r="G947" t="s">
        <v>30</v>
      </c>
      <c r="H947" s="5">
        <v>2062</v>
      </c>
      <c r="I947">
        <v>6</v>
      </c>
      <c r="J947" s="5">
        <v>848</v>
      </c>
    </row>
    <row r="948" spans="1:10" x14ac:dyDescent="0.35">
      <c r="A948" s="1">
        <v>45361</v>
      </c>
      <c r="B948" s="2">
        <f>YEAR(Sales_Dataset[[#This Row],[Order Date]])</f>
        <v>2024</v>
      </c>
      <c r="C948" s="2">
        <f>MONTH(Sales_Dataset[[#This Row],[Order Date]])</f>
        <v>3</v>
      </c>
      <c r="D948" t="s">
        <v>544</v>
      </c>
      <c r="E948" t="s">
        <v>9</v>
      </c>
      <c r="F948" t="s">
        <v>18</v>
      </c>
      <c r="G948" t="s">
        <v>30</v>
      </c>
      <c r="H948" s="5">
        <v>6402</v>
      </c>
      <c r="I948">
        <v>19</v>
      </c>
      <c r="J948" s="5">
        <v>2770</v>
      </c>
    </row>
    <row r="949" spans="1:10" x14ac:dyDescent="0.35">
      <c r="A949" s="1">
        <v>45361</v>
      </c>
      <c r="B949" s="2">
        <f>YEAR(Sales_Dataset[[#This Row],[Order Date]])</f>
        <v>2024</v>
      </c>
      <c r="C949" s="2">
        <f>MONTH(Sales_Dataset[[#This Row],[Order Date]])</f>
        <v>3</v>
      </c>
      <c r="D949" t="s">
        <v>544</v>
      </c>
      <c r="E949" t="s">
        <v>9</v>
      </c>
      <c r="F949" t="s">
        <v>10</v>
      </c>
      <c r="G949" t="s">
        <v>16</v>
      </c>
      <c r="H949" s="5">
        <v>5916</v>
      </c>
      <c r="I949">
        <v>19</v>
      </c>
      <c r="J949" s="5">
        <v>1594</v>
      </c>
    </row>
    <row r="950" spans="1:10" x14ac:dyDescent="0.35">
      <c r="A950" s="1">
        <v>45362</v>
      </c>
      <c r="B950" s="2">
        <f>YEAR(Sales_Dataset[[#This Row],[Order Date]])</f>
        <v>2024</v>
      </c>
      <c r="C950" s="2">
        <f>MONTH(Sales_Dataset[[#This Row],[Order Date]])</f>
        <v>3</v>
      </c>
      <c r="D950" t="s">
        <v>702</v>
      </c>
      <c r="E950" t="s">
        <v>13</v>
      </c>
      <c r="F950" t="s">
        <v>18</v>
      </c>
      <c r="G950" t="s">
        <v>30</v>
      </c>
      <c r="H950" s="5">
        <v>7122</v>
      </c>
      <c r="I950">
        <v>7</v>
      </c>
      <c r="J950" s="5">
        <v>1982</v>
      </c>
    </row>
    <row r="951" spans="1:10" x14ac:dyDescent="0.35">
      <c r="A951" s="1">
        <v>45363</v>
      </c>
      <c r="B951" s="2">
        <f>YEAR(Sales_Dataset[[#This Row],[Order Date]])</f>
        <v>2024</v>
      </c>
      <c r="C951" s="2">
        <f>MONTH(Sales_Dataset[[#This Row],[Order Date]])</f>
        <v>3</v>
      </c>
      <c r="D951" t="s">
        <v>714</v>
      </c>
      <c r="E951" t="s">
        <v>22</v>
      </c>
      <c r="F951" t="s">
        <v>24</v>
      </c>
      <c r="G951" t="s">
        <v>51</v>
      </c>
      <c r="H951" s="5">
        <v>5994</v>
      </c>
      <c r="I951">
        <v>9</v>
      </c>
      <c r="J951" s="5">
        <v>2826</v>
      </c>
    </row>
    <row r="952" spans="1:10" x14ac:dyDescent="0.35">
      <c r="A952" s="1">
        <v>45364</v>
      </c>
      <c r="B952" s="2">
        <f>YEAR(Sales_Dataset[[#This Row],[Order Date]])</f>
        <v>2024</v>
      </c>
      <c r="C952" s="2">
        <f>MONTH(Sales_Dataset[[#This Row],[Order Date]])</f>
        <v>3</v>
      </c>
      <c r="D952" t="s">
        <v>183</v>
      </c>
      <c r="E952" t="s">
        <v>22</v>
      </c>
      <c r="F952" t="s">
        <v>24</v>
      </c>
      <c r="G952" t="s">
        <v>51</v>
      </c>
      <c r="H952" s="5">
        <v>9574</v>
      </c>
      <c r="I952">
        <v>19</v>
      </c>
      <c r="J952" s="5">
        <v>4045</v>
      </c>
    </row>
    <row r="953" spans="1:10" x14ac:dyDescent="0.35">
      <c r="A953" s="1">
        <v>45364</v>
      </c>
      <c r="B953" s="2">
        <f>YEAR(Sales_Dataset[[#This Row],[Order Date]])</f>
        <v>2024</v>
      </c>
      <c r="C953" s="2">
        <f>MONTH(Sales_Dataset[[#This Row],[Order Date]])</f>
        <v>3</v>
      </c>
      <c r="D953" t="s">
        <v>183</v>
      </c>
      <c r="E953" t="s">
        <v>22</v>
      </c>
      <c r="F953" t="s">
        <v>10</v>
      </c>
      <c r="G953" t="s">
        <v>11</v>
      </c>
      <c r="H953" s="5">
        <v>4382</v>
      </c>
      <c r="I953">
        <v>17</v>
      </c>
      <c r="J953" s="5">
        <v>482</v>
      </c>
    </row>
    <row r="954" spans="1:10" x14ac:dyDescent="0.35">
      <c r="A954" s="1">
        <v>45366</v>
      </c>
      <c r="B954" s="2">
        <f>YEAR(Sales_Dataset[[#This Row],[Order Date]])</f>
        <v>2024</v>
      </c>
      <c r="C954" s="2">
        <f>MONTH(Sales_Dataset[[#This Row],[Order Date]])</f>
        <v>3</v>
      </c>
      <c r="D954" t="s">
        <v>625</v>
      </c>
      <c r="E954" t="s">
        <v>15</v>
      </c>
      <c r="F954" t="s">
        <v>10</v>
      </c>
      <c r="G954" t="s">
        <v>11</v>
      </c>
      <c r="H954" s="5">
        <v>4307</v>
      </c>
      <c r="I954">
        <v>3</v>
      </c>
      <c r="J954" s="5">
        <v>615</v>
      </c>
    </row>
    <row r="955" spans="1:10" x14ac:dyDescent="0.35">
      <c r="A955" s="1">
        <v>45366</v>
      </c>
      <c r="B955" s="2">
        <f>YEAR(Sales_Dataset[[#This Row],[Order Date]])</f>
        <v>2024</v>
      </c>
      <c r="C955" s="2">
        <f>MONTH(Sales_Dataset[[#This Row],[Order Date]])</f>
        <v>3</v>
      </c>
      <c r="D955" t="s">
        <v>625</v>
      </c>
      <c r="E955" t="s">
        <v>15</v>
      </c>
      <c r="F955" t="s">
        <v>24</v>
      </c>
      <c r="G955" t="s">
        <v>27</v>
      </c>
      <c r="H955" s="5">
        <v>5694</v>
      </c>
      <c r="I955">
        <v>5</v>
      </c>
      <c r="J955" s="5">
        <v>1134</v>
      </c>
    </row>
    <row r="956" spans="1:10" x14ac:dyDescent="0.35">
      <c r="A956" s="1">
        <v>45368</v>
      </c>
      <c r="B956" s="2">
        <f>YEAR(Sales_Dataset[[#This Row],[Order Date]])</f>
        <v>2024</v>
      </c>
      <c r="C956" s="2">
        <f>MONTH(Sales_Dataset[[#This Row],[Order Date]])</f>
        <v>3</v>
      </c>
      <c r="D956" t="s">
        <v>181</v>
      </c>
      <c r="E956" t="s">
        <v>47</v>
      </c>
      <c r="F956" t="s">
        <v>18</v>
      </c>
      <c r="G956" t="s">
        <v>19</v>
      </c>
      <c r="H956" s="5">
        <v>4404</v>
      </c>
      <c r="I956">
        <v>17</v>
      </c>
      <c r="J956" s="5">
        <v>858</v>
      </c>
    </row>
    <row r="957" spans="1:10" x14ac:dyDescent="0.35">
      <c r="A957" s="1">
        <v>45368</v>
      </c>
      <c r="B957" s="2">
        <f>YEAR(Sales_Dataset[[#This Row],[Order Date]])</f>
        <v>2024</v>
      </c>
      <c r="C957" s="2">
        <f>MONTH(Sales_Dataset[[#This Row],[Order Date]])</f>
        <v>3</v>
      </c>
      <c r="D957" t="s">
        <v>181</v>
      </c>
      <c r="E957" t="s">
        <v>47</v>
      </c>
      <c r="F957" t="s">
        <v>24</v>
      </c>
      <c r="G957" t="s">
        <v>31</v>
      </c>
      <c r="H957" s="5">
        <v>8776</v>
      </c>
      <c r="I957">
        <v>15</v>
      </c>
      <c r="J957" s="5">
        <v>2529</v>
      </c>
    </row>
    <row r="958" spans="1:10" x14ac:dyDescent="0.35">
      <c r="A958" s="1">
        <v>45368</v>
      </c>
      <c r="B958" s="2">
        <f>YEAR(Sales_Dataset[[#This Row],[Order Date]])</f>
        <v>2024</v>
      </c>
      <c r="C958" s="2">
        <f>MONTH(Sales_Dataset[[#This Row],[Order Date]])</f>
        <v>3</v>
      </c>
      <c r="D958" t="s">
        <v>715</v>
      </c>
      <c r="E958" t="s">
        <v>15</v>
      </c>
      <c r="F958" t="s">
        <v>24</v>
      </c>
      <c r="G958" t="s">
        <v>51</v>
      </c>
      <c r="H958" s="5">
        <v>5994</v>
      </c>
      <c r="I958">
        <v>9</v>
      </c>
      <c r="J958" s="5">
        <v>2826</v>
      </c>
    </row>
    <row r="959" spans="1:10" x14ac:dyDescent="0.35">
      <c r="A959" s="1">
        <v>45372</v>
      </c>
      <c r="B959" s="2">
        <f>YEAR(Sales_Dataset[[#This Row],[Order Date]])</f>
        <v>2024</v>
      </c>
      <c r="C959" s="2">
        <f>MONTH(Sales_Dataset[[#This Row],[Order Date]])</f>
        <v>3</v>
      </c>
      <c r="D959" t="s">
        <v>500</v>
      </c>
      <c r="E959" t="s">
        <v>13</v>
      </c>
      <c r="F959" t="s">
        <v>18</v>
      </c>
      <c r="G959" t="s">
        <v>30</v>
      </c>
      <c r="H959" s="5">
        <v>4220</v>
      </c>
      <c r="I959">
        <v>13</v>
      </c>
      <c r="J959" s="5">
        <v>945</v>
      </c>
    </row>
    <row r="960" spans="1:10" x14ac:dyDescent="0.35">
      <c r="A960" s="1">
        <v>45374</v>
      </c>
      <c r="B960" s="2">
        <f>YEAR(Sales_Dataset[[#This Row],[Order Date]])</f>
        <v>2024</v>
      </c>
      <c r="C960" s="2">
        <f>MONTH(Sales_Dataset[[#This Row],[Order Date]])</f>
        <v>3</v>
      </c>
      <c r="D960" t="s">
        <v>378</v>
      </c>
      <c r="E960" t="s">
        <v>15</v>
      </c>
      <c r="F960" t="s">
        <v>24</v>
      </c>
      <c r="G960" t="s">
        <v>25</v>
      </c>
      <c r="H960" s="5">
        <v>5306</v>
      </c>
      <c r="I960">
        <v>17</v>
      </c>
      <c r="J960" s="5">
        <v>2405</v>
      </c>
    </row>
    <row r="961" spans="1:10" x14ac:dyDescent="0.35">
      <c r="A961" s="1">
        <v>45375</v>
      </c>
      <c r="B961" s="2">
        <f>YEAR(Sales_Dataset[[#This Row],[Order Date]])</f>
        <v>2024</v>
      </c>
      <c r="C961" s="2">
        <f>MONTH(Sales_Dataset[[#This Row],[Order Date]])</f>
        <v>3</v>
      </c>
      <c r="D961" t="s">
        <v>166</v>
      </c>
      <c r="E961" t="s">
        <v>36</v>
      </c>
      <c r="F961" t="s">
        <v>10</v>
      </c>
      <c r="G961" t="s">
        <v>11</v>
      </c>
      <c r="H961" s="5">
        <v>6962</v>
      </c>
      <c r="I961">
        <v>12</v>
      </c>
      <c r="J961" s="5">
        <v>3429</v>
      </c>
    </row>
    <row r="962" spans="1:10" x14ac:dyDescent="0.35">
      <c r="A962" s="1">
        <v>45378</v>
      </c>
      <c r="B962" s="2">
        <f>YEAR(Sales_Dataset[[#This Row],[Order Date]])</f>
        <v>2024</v>
      </c>
      <c r="C962" s="2">
        <f>MONTH(Sales_Dataset[[#This Row],[Order Date]])</f>
        <v>3</v>
      </c>
      <c r="D962" t="s">
        <v>613</v>
      </c>
      <c r="E962" t="s">
        <v>13</v>
      </c>
      <c r="F962" t="s">
        <v>10</v>
      </c>
      <c r="G962" t="s">
        <v>16</v>
      </c>
      <c r="H962" s="5">
        <v>1093</v>
      </c>
      <c r="I962">
        <v>17</v>
      </c>
      <c r="J962" s="5">
        <v>397</v>
      </c>
    </row>
    <row r="963" spans="1:10" x14ac:dyDescent="0.35">
      <c r="A963" s="1">
        <v>45378</v>
      </c>
      <c r="B963" s="2">
        <f>YEAR(Sales_Dataset[[#This Row],[Order Date]])</f>
        <v>2024</v>
      </c>
      <c r="C963" s="2">
        <f>MONTH(Sales_Dataset[[#This Row],[Order Date]])</f>
        <v>3</v>
      </c>
      <c r="D963" t="s">
        <v>613</v>
      </c>
      <c r="E963" t="s">
        <v>13</v>
      </c>
      <c r="F963" t="s">
        <v>18</v>
      </c>
      <c r="G963" t="s">
        <v>33</v>
      </c>
      <c r="H963" s="5">
        <v>2636</v>
      </c>
      <c r="I963">
        <v>11</v>
      </c>
      <c r="J963" s="5">
        <v>88</v>
      </c>
    </row>
    <row r="964" spans="1:10" x14ac:dyDescent="0.35">
      <c r="A964" s="1">
        <v>45378</v>
      </c>
      <c r="B964" s="2">
        <f>YEAR(Sales_Dataset[[#This Row],[Order Date]])</f>
        <v>2024</v>
      </c>
      <c r="C964" s="2">
        <f>MONTH(Sales_Dataset[[#This Row],[Order Date]])</f>
        <v>3</v>
      </c>
      <c r="D964" t="s">
        <v>647</v>
      </c>
      <c r="E964" t="s">
        <v>47</v>
      </c>
      <c r="F964" t="s">
        <v>18</v>
      </c>
      <c r="G964" t="s">
        <v>30</v>
      </c>
      <c r="H964" s="5">
        <v>3747</v>
      </c>
      <c r="I964">
        <v>5</v>
      </c>
      <c r="J964" s="5">
        <v>410</v>
      </c>
    </row>
    <row r="965" spans="1:10" x14ac:dyDescent="0.35">
      <c r="A965" s="1">
        <v>45378</v>
      </c>
      <c r="B965" s="2">
        <f>YEAR(Sales_Dataset[[#This Row],[Order Date]])</f>
        <v>2024</v>
      </c>
      <c r="C965" s="2">
        <f>MONTH(Sales_Dataset[[#This Row],[Order Date]])</f>
        <v>3</v>
      </c>
      <c r="D965" t="s">
        <v>647</v>
      </c>
      <c r="E965" t="s">
        <v>47</v>
      </c>
      <c r="F965" t="s">
        <v>18</v>
      </c>
      <c r="G965" t="s">
        <v>39</v>
      </c>
      <c r="H965" s="5">
        <v>3194</v>
      </c>
      <c r="I965">
        <v>4</v>
      </c>
      <c r="J965" s="5">
        <v>534</v>
      </c>
    </row>
    <row r="966" spans="1:10" x14ac:dyDescent="0.35">
      <c r="A966" s="1">
        <v>45381</v>
      </c>
      <c r="B966" s="2">
        <f>YEAR(Sales_Dataset[[#This Row],[Order Date]])</f>
        <v>2024</v>
      </c>
      <c r="C966" s="2">
        <f>MONTH(Sales_Dataset[[#This Row],[Order Date]])</f>
        <v>3</v>
      </c>
      <c r="D966" t="s">
        <v>285</v>
      </c>
      <c r="E966" t="s">
        <v>47</v>
      </c>
      <c r="F966" t="s">
        <v>10</v>
      </c>
      <c r="G966" t="s">
        <v>41</v>
      </c>
      <c r="H966" s="5">
        <v>3273</v>
      </c>
      <c r="I966">
        <v>16</v>
      </c>
      <c r="J966" s="5">
        <v>85</v>
      </c>
    </row>
    <row r="967" spans="1:10" x14ac:dyDescent="0.35">
      <c r="A967" s="1">
        <v>45381</v>
      </c>
      <c r="B967" s="2">
        <f>YEAR(Sales_Dataset[[#This Row],[Order Date]])</f>
        <v>2024</v>
      </c>
      <c r="C967" s="2">
        <f>MONTH(Sales_Dataset[[#This Row],[Order Date]])</f>
        <v>3</v>
      </c>
      <c r="D967" t="s">
        <v>643</v>
      </c>
      <c r="E967" t="s">
        <v>47</v>
      </c>
      <c r="F967" t="s">
        <v>24</v>
      </c>
      <c r="G967" t="s">
        <v>25</v>
      </c>
      <c r="H967" s="5">
        <v>5954</v>
      </c>
      <c r="I967">
        <v>11</v>
      </c>
      <c r="J967" s="5">
        <v>2618</v>
      </c>
    </row>
    <row r="968" spans="1:10" x14ac:dyDescent="0.35">
      <c r="A968" s="1">
        <v>45384</v>
      </c>
      <c r="B968" s="2">
        <f>YEAR(Sales_Dataset[[#This Row],[Order Date]])</f>
        <v>2024</v>
      </c>
      <c r="C968" s="2">
        <f>MONTH(Sales_Dataset[[#This Row],[Order Date]])</f>
        <v>4</v>
      </c>
      <c r="D968" t="s">
        <v>817</v>
      </c>
      <c r="E968" t="s">
        <v>36</v>
      </c>
      <c r="F968" t="s">
        <v>18</v>
      </c>
      <c r="G968" t="s">
        <v>33</v>
      </c>
      <c r="H968" s="5">
        <v>5024</v>
      </c>
      <c r="I968">
        <v>2</v>
      </c>
      <c r="J968" s="5">
        <v>379</v>
      </c>
    </row>
    <row r="969" spans="1:10" x14ac:dyDescent="0.35">
      <c r="A969" s="1">
        <v>45389</v>
      </c>
      <c r="B969" s="2">
        <f>YEAR(Sales_Dataset[[#This Row],[Order Date]])</f>
        <v>2024</v>
      </c>
      <c r="C969" s="2">
        <f>MONTH(Sales_Dataset[[#This Row],[Order Date]])</f>
        <v>4</v>
      </c>
      <c r="D969" t="s">
        <v>250</v>
      </c>
      <c r="E969" t="s">
        <v>36</v>
      </c>
      <c r="F969" t="s">
        <v>18</v>
      </c>
      <c r="G969" t="s">
        <v>39</v>
      </c>
      <c r="H969" s="5">
        <v>7301</v>
      </c>
      <c r="I969">
        <v>3</v>
      </c>
      <c r="J969" s="5">
        <v>3602</v>
      </c>
    </row>
    <row r="970" spans="1:10" x14ac:dyDescent="0.35">
      <c r="A970" s="1">
        <v>45392</v>
      </c>
      <c r="B970" s="2">
        <f>YEAR(Sales_Dataset[[#This Row],[Order Date]])</f>
        <v>2024</v>
      </c>
      <c r="C970" s="2">
        <f>MONTH(Sales_Dataset[[#This Row],[Order Date]])</f>
        <v>4</v>
      </c>
      <c r="D970" t="s">
        <v>515</v>
      </c>
      <c r="E970" t="s">
        <v>15</v>
      </c>
      <c r="F970" t="s">
        <v>24</v>
      </c>
      <c r="G970" t="s">
        <v>31</v>
      </c>
      <c r="H970" s="5">
        <v>6622</v>
      </c>
      <c r="I970">
        <v>8</v>
      </c>
      <c r="J970" s="5">
        <v>2673</v>
      </c>
    </row>
    <row r="971" spans="1:10" x14ac:dyDescent="0.35">
      <c r="A971" s="1">
        <v>45395</v>
      </c>
      <c r="B971" s="2">
        <f>YEAR(Sales_Dataset[[#This Row],[Order Date]])</f>
        <v>2024</v>
      </c>
      <c r="C971" s="2">
        <f>MONTH(Sales_Dataset[[#This Row],[Order Date]])</f>
        <v>4</v>
      </c>
      <c r="D971" t="s">
        <v>376</v>
      </c>
      <c r="E971" t="s">
        <v>22</v>
      </c>
      <c r="F971" t="s">
        <v>24</v>
      </c>
      <c r="G971" t="s">
        <v>27</v>
      </c>
      <c r="H971" s="5">
        <v>5343</v>
      </c>
      <c r="I971">
        <v>1</v>
      </c>
      <c r="J971" s="5">
        <v>655</v>
      </c>
    </row>
    <row r="972" spans="1:10" x14ac:dyDescent="0.35">
      <c r="A972" s="1">
        <v>45398</v>
      </c>
      <c r="B972" s="2">
        <f>YEAR(Sales_Dataset[[#This Row],[Order Date]])</f>
        <v>2024</v>
      </c>
      <c r="C972" s="2">
        <f>MONTH(Sales_Dataset[[#This Row],[Order Date]])</f>
        <v>4</v>
      </c>
      <c r="D972" t="s">
        <v>233</v>
      </c>
      <c r="E972" t="s">
        <v>13</v>
      </c>
      <c r="F972" t="s">
        <v>18</v>
      </c>
      <c r="G972" t="s">
        <v>33</v>
      </c>
      <c r="H972" s="5">
        <v>2493</v>
      </c>
      <c r="I972">
        <v>9</v>
      </c>
      <c r="J972" s="5">
        <v>1221</v>
      </c>
    </row>
    <row r="973" spans="1:10" x14ac:dyDescent="0.35">
      <c r="A973" s="1">
        <v>45398</v>
      </c>
      <c r="B973" s="2">
        <f>YEAR(Sales_Dataset[[#This Row],[Order Date]])</f>
        <v>2024</v>
      </c>
      <c r="C973" s="2">
        <f>MONTH(Sales_Dataset[[#This Row],[Order Date]])</f>
        <v>4</v>
      </c>
      <c r="D973" t="s">
        <v>233</v>
      </c>
      <c r="E973" t="s">
        <v>13</v>
      </c>
      <c r="F973" t="s">
        <v>18</v>
      </c>
      <c r="G973" t="s">
        <v>19</v>
      </c>
      <c r="H973" s="5">
        <v>9849</v>
      </c>
      <c r="I973">
        <v>1</v>
      </c>
      <c r="J973" s="5">
        <v>963</v>
      </c>
    </row>
    <row r="974" spans="1:10" x14ac:dyDescent="0.35">
      <c r="A974" s="1">
        <v>45398</v>
      </c>
      <c r="B974" s="2">
        <f>YEAR(Sales_Dataset[[#This Row],[Order Date]])</f>
        <v>2024</v>
      </c>
      <c r="C974" s="2">
        <f>MONTH(Sales_Dataset[[#This Row],[Order Date]])</f>
        <v>4</v>
      </c>
      <c r="D974" t="s">
        <v>533</v>
      </c>
      <c r="E974" t="s">
        <v>36</v>
      </c>
      <c r="F974" t="s">
        <v>10</v>
      </c>
      <c r="G974" t="s">
        <v>41</v>
      </c>
      <c r="H974" s="5">
        <v>7478</v>
      </c>
      <c r="I974">
        <v>11</v>
      </c>
      <c r="J974" s="5">
        <v>1381</v>
      </c>
    </row>
    <row r="975" spans="1:10" x14ac:dyDescent="0.35">
      <c r="A975" s="1">
        <v>45398</v>
      </c>
      <c r="B975" s="2">
        <f>YEAR(Sales_Dataset[[#This Row],[Order Date]])</f>
        <v>2024</v>
      </c>
      <c r="C975" s="2">
        <f>MONTH(Sales_Dataset[[#This Row],[Order Date]])</f>
        <v>4</v>
      </c>
      <c r="D975" t="s">
        <v>571</v>
      </c>
      <c r="E975" t="s">
        <v>13</v>
      </c>
      <c r="F975" t="s">
        <v>10</v>
      </c>
      <c r="G975" t="s">
        <v>41</v>
      </c>
      <c r="H975" s="5">
        <v>7484</v>
      </c>
      <c r="I975">
        <v>15</v>
      </c>
      <c r="J975" s="5">
        <v>2871</v>
      </c>
    </row>
    <row r="976" spans="1:10" x14ac:dyDescent="0.35">
      <c r="A976" s="1">
        <v>45398</v>
      </c>
      <c r="B976" s="2">
        <f>YEAR(Sales_Dataset[[#This Row],[Order Date]])</f>
        <v>2024</v>
      </c>
      <c r="C976" s="2">
        <f>MONTH(Sales_Dataset[[#This Row],[Order Date]])</f>
        <v>4</v>
      </c>
      <c r="D976" t="s">
        <v>571</v>
      </c>
      <c r="E976" t="s">
        <v>13</v>
      </c>
      <c r="F976" t="s">
        <v>24</v>
      </c>
      <c r="G976" t="s">
        <v>31</v>
      </c>
      <c r="H976" s="5">
        <v>7700</v>
      </c>
      <c r="I976">
        <v>1</v>
      </c>
      <c r="J976" s="5">
        <v>2712</v>
      </c>
    </row>
    <row r="977" spans="1:10" x14ac:dyDescent="0.35">
      <c r="A977" s="1">
        <v>45398</v>
      </c>
      <c r="B977" s="2">
        <f>YEAR(Sales_Dataset[[#This Row],[Order Date]])</f>
        <v>2024</v>
      </c>
      <c r="C977" s="2">
        <f>MONTH(Sales_Dataset[[#This Row],[Order Date]])</f>
        <v>4</v>
      </c>
      <c r="D977" t="s">
        <v>664</v>
      </c>
      <c r="E977" t="s">
        <v>13</v>
      </c>
      <c r="F977" t="s">
        <v>18</v>
      </c>
      <c r="G977" t="s">
        <v>33</v>
      </c>
      <c r="H977" s="5">
        <v>4172</v>
      </c>
      <c r="I977">
        <v>5</v>
      </c>
      <c r="J977" s="5">
        <v>235</v>
      </c>
    </row>
    <row r="978" spans="1:10" x14ac:dyDescent="0.35">
      <c r="A978" s="1">
        <v>45405</v>
      </c>
      <c r="B978" s="2">
        <f>YEAR(Sales_Dataset[[#This Row],[Order Date]])</f>
        <v>2024</v>
      </c>
      <c r="C978" s="2">
        <f>MONTH(Sales_Dataset[[#This Row],[Order Date]])</f>
        <v>4</v>
      </c>
      <c r="D978" t="s">
        <v>383</v>
      </c>
      <c r="E978" t="s">
        <v>22</v>
      </c>
      <c r="F978" t="s">
        <v>18</v>
      </c>
      <c r="G978" t="s">
        <v>19</v>
      </c>
      <c r="H978" s="5">
        <v>9808</v>
      </c>
      <c r="I978">
        <v>2</v>
      </c>
      <c r="J978" s="5">
        <v>2117</v>
      </c>
    </row>
    <row r="979" spans="1:10" x14ac:dyDescent="0.35">
      <c r="A979" s="1">
        <v>45406</v>
      </c>
      <c r="B979" s="2">
        <f>YEAR(Sales_Dataset[[#This Row],[Order Date]])</f>
        <v>2024</v>
      </c>
      <c r="C979" s="2">
        <f>MONTH(Sales_Dataset[[#This Row],[Order Date]])</f>
        <v>4</v>
      </c>
      <c r="D979" t="s">
        <v>362</v>
      </c>
      <c r="E979" t="s">
        <v>36</v>
      </c>
      <c r="F979" t="s">
        <v>24</v>
      </c>
      <c r="G979" t="s">
        <v>25</v>
      </c>
      <c r="H979" s="5">
        <v>4852</v>
      </c>
      <c r="I979">
        <v>2</v>
      </c>
      <c r="J979" s="5">
        <v>218</v>
      </c>
    </row>
    <row r="980" spans="1:10" x14ac:dyDescent="0.35">
      <c r="A980" s="1">
        <v>45407</v>
      </c>
      <c r="B980" s="2">
        <f>YEAR(Sales_Dataset[[#This Row],[Order Date]])</f>
        <v>2024</v>
      </c>
      <c r="C980" s="2">
        <f>MONTH(Sales_Dataset[[#This Row],[Order Date]])</f>
        <v>4</v>
      </c>
      <c r="D980" t="s">
        <v>422</v>
      </c>
      <c r="E980" t="s">
        <v>36</v>
      </c>
      <c r="F980" t="s">
        <v>10</v>
      </c>
      <c r="G980" t="s">
        <v>41</v>
      </c>
      <c r="H980" s="5">
        <v>7122</v>
      </c>
      <c r="I980">
        <v>6</v>
      </c>
      <c r="J980" s="5">
        <v>1836</v>
      </c>
    </row>
    <row r="981" spans="1:10" x14ac:dyDescent="0.35">
      <c r="A981" s="1">
        <v>45407</v>
      </c>
      <c r="B981" s="2">
        <f>YEAR(Sales_Dataset[[#This Row],[Order Date]])</f>
        <v>2024</v>
      </c>
      <c r="C981" s="2">
        <f>MONTH(Sales_Dataset[[#This Row],[Order Date]])</f>
        <v>4</v>
      </c>
      <c r="D981" t="s">
        <v>422</v>
      </c>
      <c r="E981" t="s">
        <v>36</v>
      </c>
      <c r="F981" t="s">
        <v>18</v>
      </c>
      <c r="G981" t="s">
        <v>30</v>
      </c>
      <c r="H981" s="5">
        <v>7327</v>
      </c>
      <c r="I981">
        <v>15</v>
      </c>
      <c r="J981" s="5">
        <v>2596</v>
      </c>
    </row>
    <row r="982" spans="1:10" x14ac:dyDescent="0.35">
      <c r="A982" s="1">
        <v>45411</v>
      </c>
      <c r="B982" s="2">
        <f>YEAR(Sales_Dataset[[#This Row],[Order Date]])</f>
        <v>2024</v>
      </c>
      <c r="C982" s="2">
        <f>MONTH(Sales_Dataset[[#This Row],[Order Date]])</f>
        <v>4</v>
      </c>
      <c r="D982" t="s">
        <v>111</v>
      </c>
      <c r="E982" t="s">
        <v>36</v>
      </c>
      <c r="F982" t="s">
        <v>10</v>
      </c>
      <c r="G982" t="s">
        <v>41</v>
      </c>
      <c r="H982" s="5">
        <v>6009</v>
      </c>
      <c r="I982">
        <v>7</v>
      </c>
      <c r="J982" s="5">
        <v>2107</v>
      </c>
    </row>
    <row r="983" spans="1:10" x14ac:dyDescent="0.35">
      <c r="A983" s="1">
        <v>45411</v>
      </c>
      <c r="B983" s="2">
        <f>YEAR(Sales_Dataset[[#This Row],[Order Date]])</f>
        <v>2024</v>
      </c>
      <c r="C983" s="2">
        <f>MONTH(Sales_Dataset[[#This Row],[Order Date]])</f>
        <v>4</v>
      </c>
      <c r="D983" t="s">
        <v>111</v>
      </c>
      <c r="E983" t="s">
        <v>36</v>
      </c>
      <c r="F983" t="s">
        <v>24</v>
      </c>
      <c r="G983" t="s">
        <v>25</v>
      </c>
      <c r="H983" s="5">
        <v>2858</v>
      </c>
      <c r="I983">
        <v>3</v>
      </c>
      <c r="J983" s="5">
        <v>230</v>
      </c>
    </row>
    <row r="984" spans="1:10" x14ac:dyDescent="0.35">
      <c r="A984" s="1">
        <v>45411</v>
      </c>
      <c r="B984" s="2">
        <f>YEAR(Sales_Dataset[[#This Row],[Order Date]])</f>
        <v>2024</v>
      </c>
      <c r="C984" s="2">
        <f>MONTH(Sales_Dataset[[#This Row],[Order Date]])</f>
        <v>4</v>
      </c>
      <c r="D984" t="s">
        <v>111</v>
      </c>
      <c r="E984" t="s">
        <v>36</v>
      </c>
      <c r="F984" t="s">
        <v>24</v>
      </c>
      <c r="G984" t="s">
        <v>31</v>
      </c>
      <c r="H984" s="5">
        <v>8175</v>
      </c>
      <c r="I984">
        <v>7</v>
      </c>
      <c r="J984" s="5">
        <v>525</v>
      </c>
    </row>
    <row r="985" spans="1:10" x14ac:dyDescent="0.35">
      <c r="A985" s="1">
        <v>45411</v>
      </c>
      <c r="B985" s="2">
        <f>YEAR(Sales_Dataset[[#This Row],[Order Date]])</f>
        <v>2024</v>
      </c>
      <c r="C985" s="2">
        <f>MONTH(Sales_Dataset[[#This Row],[Order Date]])</f>
        <v>4</v>
      </c>
      <c r="D985" t="s">
        <v>111</v>
      </c>
      <c r="E985" t="s">
        <v>36</v>
      </c>
      <c r="F985" t="s">
        <v>24</v>
      </c>
      <c r="G985" t="s">
        <v>31</v>
      </c>
      <c r="H985" s="5">
        <v>5846</v>
      </c>
      <c r="I985">
        <v>18</v>
      </c>
      <c r="J985" s="5">
        <v>586</v>
      </c>
    </row>
    <row r="986" spans="1:10" x14ac:dyDescent="0.35">
      <c r="A986" s="1">
        <v>45411</v>
      </c>
      <c r="B986" s="2">
        <f>YEAR(Sales_Dataset[[#This Row],[Order Date]])</f>
        <v>2024</v>
      </c>
      <c r="C986" s="2">
        <f>MONTH(Sales_Dataset[[#This Row],[Order Date]])</f>
        <v>4</v>
      </c>
      <c r="D986" t="s">
        <v>514</v>
      </c>
      <c r="E986" t="s">
        <v>15</v>
      </c>
      <c r="F986" t="s">
        <v>24</v>
      </c>
      <c r="G986" t="s">
        <v>25</v>
      </c>
      <c r="H986" s="5">
        <v>9680</v>
      </c>
      <c r="I986">
        <v>9</v>
      </c>
      <c r="J986" s="5">
        <v>3295</v>
      </c>
    </row>
    <row r="987" spans="1:10" x14ac:dyDescent="0.35">
      <c r="A987" s="1">
        <v>45411</v>
      </c>
      <c r="B987" s="2">
        <f>YEAR(Sales_Dataset[[#This Row],[Order Date]])</f>
        <v>2024</v>
      </c>
      <c r="C987" s="2">
        <f>MONTH(Sales_Dataset[[#This Row],[Order Date]])</f>
        <v>4</v>
      </c>
      <c r="D987" t="s">
        <v>514</v>
      </c>
      <c r="E987" t="s">
        <v>15</v>
      </c>
      <c r="F987" t="s">
        <v>18</v>
      </c>
      <c r="G987" t="s">
        <v>19</v>
      </c>
      <c r="H987" s="5">
        <v>8468</v>
      </c>
      <c r="I987">
        <v>8</v>
      </c>
      <c r="J987" s="5">
        <v>3666</v>
      </c>
    </row>
    <row r="988" spans="1:10" x14ac:dyDescent="0.35">
      <c r="A988" s="1">
        <v>45411</v>
      </c>
      <c r="B988" s="2">
        <f>YEAR(Sales_Dataset[[#This Row],[Order Date]])</f>
        <v>2024</v>
      </c>
      <c r="C988" s="2">
        <f>MONTH(Sales_Dataset[[#This Row],[Order Date]])</f>
        <v>4</v>
      </c>
      <c r="D988" t="s">
        <v>514</v>
      </c>
      <c r="E988" t="s">
        <v>15</v>
      </c>
      <c r="F988" t="s">
        <v>24</v>
      </c>
      <c r="G988" t="s">
        <v>27</v>
      </c>
      <c r="H988" s="5">
        <v>4441</v>
      </c>
      <c r="I988">
        <v>14</v>
      </c>
      <c r="J988" s="5">
        <v>314</v>
      </c>
    </row>
    <row r="989" spans="1:10" x14ac:dyDescent="0.35">
      <c r="A989" s="1">
        <v>45413</v>
      </c>
      <c r="B989" s="2">
        <f>YEAR(Sales_Dataset[[#This Row],[Order Date]])</f>
        <v>2024</v>
      </c>
      <c r="C989" s="2">
        <f>MONTH(Sales_Dataset[[#This Row],[Order Date]])</f>
        <v>5</v>
      </c>
      <c r="D989" t="s">
        <v>218</v>
      </c>
      <c r="E989" t="s">
        <v>47</v>
      </c>
      <c r="F989" t="s">
        <v>18</v>
      </c>
      <c r="G989" t="s">
        <v>39</v>
      </c>
      <c r="H989" s="5">
        <v>6891</v>
      </c>
      <c r="I989">
        <v>3</v>
      </c>
      <c r="J989" s="5">
        <v>2529</v>
      </c>
    </row>
    <row r="990" spans="1:10" x14ac:dyDescent="0.35">
      <c r="A990" s="1">
        <v>45414</v>
      </c>
      <c r="B990" s="2">
        <f>YEAR(Sales_Dataset[[#This Row],[Order Date]])</f>
        <v>2024</v>
      </c>
      <c r="C990" s="2">
        <f>MONTH(Sales_Dataset[[#This Row],[Order Date]])</f>
        <v>5</v>
      </c>
      <c r="D990" t="s">
        <v>392</v>
      </c>
      <c r="E990" t="s">
        <v>22</v>
      </c>
      <c r="F990" t="s">
        <v>24</v>
      </c>
      <c r="G990" t="s">
        <v>31</v>
      </c>
      <c r="H990" s="5">
        <v>3024</v>
      </c>
      <c r="I990">
        <v>1</v>
      </c>
      <c r="J990" s="5">
        <v>1353</v>
      </c>
    </row>
    <row r="991" spans="1:10" x14ac:dyDescent="0.35">
      <c r="A991" s="1">
        <v>45414</v>
      </c>
      <c r="B991" s="2">
        <f>YEAR(Sales_Dataset[[#This Row],[Order Date]])</f>
        <v>2024</v>
      </c>
      <c r="C991" s="2">
        <f>MONTH(Sales_Dataset[[#This Row],[Order Date]])</f>
        <v>5</v>
      </c>
      <c r="D991" t="s">
        <v>517</v>
      </c>
      <c r="E991" t="s">
        <v>36</v>
      </c>
      <c r="F991" t="s">
        <v>24</v>
      </c>
      <c r="G991" t="s">
        <v>25</v>
      </c>
      <c r="H991" s="5">
        <v>8709</v>
      </c>
      <c r="I991">
        <v>8</v>
      </c>
      <c r="J991" s="5">
        <v>2322</v>
      </c>
    </row>
    <row r="992" spans="1:10" x14ac:dyDescent="0.35">
      <c r="A992" s="1">
        <v>45417</v>
      </c>
      <c r="B992" s="2">
        <f>YEAR(Sales_Dataset[[#This Row],[Order Date]])</f>
        <v>2024</v>
      </c>
      <c r="C992" s="2">
        <f>MONTH(Sales_Dataset[[#This Row],[Order Date]])</f>
        <v>5</v>
      </c>
      <c r="D992" t="s">
        <v>212</v>
      </c>
      <c r="E992" t="s">
        <v>9</v>
      </c>
      <c r="F992" t="s">
        <v>24</v>
      </c>
      <c r="G992" t="s">
        <v>31</v>
      </c>
      <c r="H992" s="5">
        <v>8383</v>
      </c>
      <c r="I992">
        <v>4</v>
      </c>
      <c r="J992" s="5">
        <v>937</v>
      </c>
    </row>
    <row r="993" spans="1:10" x14ac:dyDescent="0.35">
      <c r="A993" s="1">
        <v>45420</v>
      </c>
      <c r="B993" s="2">
        <f>YEAR(Sales_Dataset[[#This Row],[Order Date]])</f>
        <v>2024</v>
      </c>
      <c r="C993" s="2">
        <f>MONTH(Sales_Dataset[[#This Row],[Order Date]])</f>
        <v>5</v>
      </c>
      <c r="D993" t="s">
        <v>642</v>
      </c>
      <c r="E993" t="s">
        <v>36</v>
      </c>
      <c r="F993" t="s">
        <v>18</v>
      </c>
      <c r="G993" t="s">
        <v>33</v>
      </c>
      <c r="H993" s="5">
        <v>594</v>
      </c>
      <c r="I993">
        <v>19</v>
      </c>
      <c r="J993" s="5">
        <v>67</v>
      </c>
    </row>
    <row r="994" spans="1:10" x14ac:dyDescent="0.35">
      <c r="A994" s="1">
        <v>45423</v>
      </c>
      <c r="B994" s="2">
        <f>YEAR(Sales_Dataset[[#This Row],[Order Date]])</f>
        <v>2024</v>
      </c>
      <c r="C994" s="2">
        <f>MONTH(Sales_Dataset[[#This Row],[Order Date]])</f>
        <v>5</v>
      </c>
      <c r="D994" t="s">
        <v>17</v>
      </c>
      <c r="E994" t="s">
        <v>9</v>
      </c>
      <c r="F994" t="s">
        <v>18</v>
      </c>
      <c r="G994" t="s">
        <v>19</v>
      </c>
      <c r="H994" s="5">
        <v>1525</v>
      </c>
      <c r="I994">
        <v>12</v>
      </c>
      <c r="J994" s="5">
        <v>185</v>
      </c>
    </row>
    <row r="995" spans="1:10" x14ac:dyDescent="0.35">
      <c r="A995" s="1">
        <v>45425</v>
      </c>
      <c r="B995" s="2">
        <f>YEAR(Sales_Dataset[[#This Row],[Order Date]])</f>
        <v>2024</v>
      </c>
      <c r="C995" s="2">
        <f>MONTH(Sales_Dataset[[#This Row],[Order Date]])</f>
        <v>5</v>
      </c>
      <c r="D995" t="s">
        <v>328</v>
      </c>
      <c r="E995" t="s">
        <v>36</v>
      </c>
      <c r="F995" t="s">
        <v>24</v>
      </c>
      <c r="G995" t="s">
        <v>27</v>
      </c>
      <c r="H995" s="5">
        <v>2895</v>
      </c>
      <c r="I995">
        <v>6</v>
      </c>
      <c r="J995" s="5">
        <v>104</v>
      </c>
    </row>
    <row r="996" spans="1:10" x14ac:dyDescent="0.35">
      <c r="A996" s="1">
        <v>45425</v>
      </c>
      <c r="B996" s="2">
        <f>YEAR(Sales_Dataset[[#This Row],[Order Date]])</f>
        <v>2024</v>
      </c>
      <c r="C996" s="2">
        <f>MONTH(Sales_Dataset[[#This Row],[Order Date]])</f>
        <v>5</v>
      </c>
      <c r="D996" t="s">
        <v>328</v>
      </c>
      <c r="E996" t="s">
        <v>36</v>
      </c>
      <c r="F996" t="s">
        <v>24</v>
      </c>
      <c r="G996" t="s">
        <v>27</v>
      </c>
      <c r="H996" s="5">
        <v>697</v>
      </c>
      <c r="I996">
        <v>1</v>
      </c>
      <c r="J996" s="5">
        <v>116</v>
      </c>
    </row>
    <row r="997" spans="1:10" x14ac:dyDescent="0.35">
      <c r="A997" s="1">
        <v>45426</v>
      </c>
      <c r="B997" s="2">
        <f>YEAR(Sales_Dataset[[#This Row],[Order Date]])</f>
        <v>2024</v>
      </c>
      <c r="C997" s="2">
        <f>MONTH(Sales_Dataset[[#This Row],[Order Date]])</f>
        <v>5</v>
      </c>
      <c r="D997" t="s">
        <v>171</v>
      </c>
      <c r="E997" t="s">
        <v>47</v>
      </c>
      <c r="F997" t="s">
        <v>24</v>
      </c>
      <c r="G997" t="s">
        <v>27</v>
      </c>
      <c r="H997" s="5">
        <v>738</v>
      </c>
      <c r="I997">
        <v>2</v>
      </c>
      <c r="J997" s="5">
        <v>342</v>
      </c>
    </row>
    <row r="998" spans="1:10" x14ac:dyDescent="0.35">
      <c r="A998" s="1">
        <v>45431</v>
      </c>
      <c r="B998" s="2">
        <f>YEAR(Sales_Dataset[[#This Row],[Order Date]])</f>
        <v>2024</v>
      </c>
      <c r="C998" s="2">
        <f>MONTH(Sales_Dataset[[#This Row],[Order Date]])</f>
        <v>5</v>
      </c>
      <c r="D998" t="s">
        <v>119</v>
      </c>
      <c r="E998" t="s">
        <v>9</v>
      </c>
      <c r="F998" t="s">
        <v>18</v>
      </c>
      <c r="G998" t="s">
        <v>33</v>
      </c>
      <c r="H998" s="5">
        <v>6517</v>
      </c>
      <c r="I998">
        <v>10</v>
      </c>
      <c r="J998" s="5">
        <v>1581</v>
      </c>
    </row>
    <row r="999" spans="1:10" x14ac:dyDescent="0.35">
      <c r="A999" s="1">
        <v>45431</v>
      </c>
      <c r="B999" s="2">
        <f>YEAR(Sales_Dataset[[#This Row],[Order Date]])</f>
        <v>2024</v>
      </c>
      <c r="C999" s="2">
        <f>MONTH(Sales_Dataset[[#This Row],[Order Date]])</f>
        <v>5</v>
      </c>
      <c r="D999" t="s">
        <v>119</v>
      </c>
      <c r="E999" t="s">
        <v>9</v>
      </c>
      <c r="F999" t="s">
        <v>24</v>
      </c>
      <c r="G999" t="s">
        <v>25</v>
      </c>
      <c r="H999" s="5">
        <v>1166</v>
      </c>
      <c r="I999">
        <v>11</v>
      </c>
      <c r="J999" s="5">
        <v>349</v>
      </c>
    </row>
    <row r="1000" spans="1:10" x14ac:dyDescent="0.35">
      <c r="A1000" s="1">
        <v>45432</v>
      </c>
      <c r="B1000" s="2">
        <f>YEAR(Sales_Dataset[[#This Row],[Order Date]])</f>
        <v>2024</v>
      </c>
      <c r="C1000" s="2">
        <f>MONTH(Sales_Dataset[[#This Row],[Order Date]])</f>
        <v>5</v>
      </c>
      <c r="D1000" t="s">
        <v>789</v>
      </c>
      <c r="E1000" t="s">
        <v>22</v>
      </c>
      <c r="F1000" t="s">
        <v>24</v>
      </c>
      <c r="G1000" t="s">
        <v>25</v>
      </c>
      <c r="H1000" s="5">
        <v>6672</v>
      </c>
      <c r="I1000">
        <v>4</v>
      </c>
      <c r="J1000" s="5">
        <v>3319</v>
      </c>
    </row>
    <row r="1001" spans="1:10" x14ac:dyDescent="0.35">
      <c r="A1001" s="1">
        <v>45433</v>
      </c>
      <c r="B1001" s="2">
        <f>YEAR(Sales_Dataset[[#This Row],[Order Date]])</f>
        <v>2024</v>
      </c>
      <c r="C1001" s="2">
        <f>MONTH(Sales_Dataset[[#This Row],[Order Date]])</f>
        <v>5</v>
      </c>
      <c r="D1001" t="s">
        <v>747</v>
      </c>
      <c r="E1001" t="s">
        <v>36</v>
      </c>
      <c r="F1001" t="s">
        <v>24</v>
      </c>
      <c r="G1001" t="s">
        <v>51</v>
      </c>
      <c r="H1001" s="5">
        <v>3084</v>
      </c>
      <c r="I1001">
        <v>19</v>
      </c>
      <c r="J1001" s="5">
        <v>611</v>
      </c>
    </row>
    <row r="1002" spans="1:10" x14ac:dyDescent="0.35">
      <c r="A1002" s="1">
        <v>45433</v>
      </c>
      <c r="B1002" s="2">
        <f>YEAR(Sales_Dataset[[#This Row],[Order Date]])</f>
        <v>2024</v>
      </c>
      <c r="C1002" s="2">
        <f>MONTH(Sales_Dataset[[#This Row],[Order Date]])</f>
        <v>5</v>
      </c>
      <c r="D1002" t="s">
        <v>790</v>
      </c>
      <c r="E1002" t="s">
        <v>47</v>
      </c>
      <c r="F1002" t="s">
        <v>18</v>
      </c>
      <c r="G1002" t="s">
        <v>39</v>
      </c>
      <c r="H1002" s="5">
        <v>4699</v>
      </c>
      <c r="I1002">
        <v>12</v>
      </c>
      <c r="J1002" s="5">
        <v>103</v>
      </c>
    </row>
    <row r="1003" spans="1:10" x14ac:dyDescent="0.35">
      <c r="A1003" s="1">
        <v>45436</v>
      </c>
      <c r="B1003" s="2">
        <f>YEAR(Sales_Dataset[[#This Row],[Order Date]])</f>
        <v>2024</v>
      </c>
      <c r="C1003" s="2">
        <f>MONTH(Sales_Dataset[[#This Row],[Order Date]])</f>
        <v>5</v>
      </c>
      <c r="D1003" t="s">
        <v>452</v>
      </c>
      <c r="E1003" t="s">
        <v>36</v>
      </c>
      <c r="F1003" t="s">
        <v>10</v>
      </c>
      <c r="G1003" t="s">
        <v>11</v>
      </c>
      <c r="H1003" s="5">
        <v>2858</v>
      </c>
      <c r="I1003">
        <v>13</v>
      </c>
      <c r="J1003" s="5">
        <v>482</v>
      </c>
    </row>
    <row r="1004" spans="1:10" x14ac:dyDescent="0.35">
      <c r="A1004" s="1">
        <v>45438</v>
      </c>
      <c r="B1004" s="2">
        <f>YEAR(Sales_Dataset[[#This Row],[Order Date]])</f>
        <v>2024</v>
      </c>
      <c r="C1004" s="2">
        <f>MONTH(Sales_Dataset[[#This Row],[Order Date]])</f>
        <v>5</v>
      </c>
      <c r="D1004" t="s">
        <v>366</v>
      </c>
      <c r="E1004" t="s">
        <v>36</v>
      </c>
      <c r="F1004" t="s">
        <v>18</v>
      </c>
      <c r="G1004" t="s">
        <v>19</v>
      </c>
      <c r="H1004" s="5">
        <v>3288</v>
      </c>
      <c r="I1004">
        <v>3</v>
      </c>
      <c r="J1004" s="5">
        <v>1477</v>
      </c>
    </row>
    <row r="1005" spans="1:10" x14ac:dyDescent="0.35">
      <c r="A1005" s="1">
        <v>45440</v>
      </c>
      <c r="B1005" s="2">
        <f>YEAR(Sales_Dataset[[#This Row],[Order Date]])</f>
        <v>2024</v>
      </c>
      <c r="C1005" s="2">
        <f>MONTH(Sales_Dataset[[#This Row],[Order Date]])</f>
        <v>5</v>
      </c>
      <c r="D1005" t="s">
        <v>695</v>
      </c>
      <c r="E1005" t="s">
        <v>13</v>
      </c>
      <c r="F1005" t="s">
        <v>10</v>
      </c>
      <c r="G1005" t="s">
        <v>41</v>
      </c>
      <c r="H1005" s="5">
        <v>9090</v>
      </c>
      <c r="I1005">
        <v>16</v>
      </c>
      <c r="J1005" s="5">
        <v>3098</v>
      </c>
    </row>
    <row r="1006" spans="1:10" x14ac:dyDescent="0.35">
      <c r="A1006" s="1">
        <v>45440</v>
      </c>
      <c r="B1006" s="2">
        <f>YEAR(Sales_Dataset[[#This Row],[Order Date]])</f>
        <v>2024</v>
      </c>
      <c r="C1006" s="2">
        <f>MONTH(Sales_Dataset[[#This Row],[Order Date]])</f>
        <v>5</v>
      </c>
      <c r="D1006" t="s">
        <v>695</v>
      </c>
      <c r="E1006" t="s">
        <v>13</v>
      </c>
      <c r="F1006" t="s">
        <v>10</v>
      </c>
      <c r="G1006" t="s">
        <v>11</v>
      </c>
      <c r="H1006" s="5">
        <v>851</v>
      </c>
      <c r="I1006">
        <v>11</v>
      </c>
      <c r="J1006" s="5">
        <v>356</v>
      </c>
    </row>
    <row r="1007" spans="1:10" x14ac:dyDescent="0.35">
      <c r="A1007" s="1">
        <v>45441</v>
      </c>
      <c r="B1007" s="2">
        <f>YEAR(Sales_Dataset[[#This Row],[Order Date]])</f>
        <v>2024</v>
      </c>
      <c r="C1007" s="2">
        <f>MONTH(Sales_Dataset[[#This Row],[Order Date]])</f>
        <v>5</v>
      </c>
      <c r="D1007" t="s">
        <v>390</v>
      </c>
      <c r="E1007" t="s">
        <v>22</v>
      </c>
      <c r="F1007" t="s">
        <v>24</v>
      </c>
      <c r="G1007" t="s">
        <v>27</v>
      </c>
      <c r="H1007" s="5">
        <v>5410</v>
      </c>
      <c r="I1007">
        <v>8</v>
      </c>
      <c r="J1007" s="5">
        <v>2456</v>
      </c>
    </row>
    <row r="1008" spans="1:10" x14ac:dyDescent="0.35">
      <c r="A1008" s="1">
        <v>45441</v>
      </c>
      <c r="B1008" s="2">
        <f>YEAR(Sales_Dataset[[#This Row],[Order Date]])</f>
        <v>2024</v>
      </c>
      <c r="C1008" s="2">
        <f>MONTH(Sales_Dataset[[#This Row],[Order Date]])</f>
        <v>5</v>
      </c>
      <c r="D1008" t="s">
        <v>815</v>
      </c>
      <c r="E1008" t="s">
        <v>9</v>
      </c>
      <c r="F1008" t="s">
        <v>24</v>
      </c>
      <c r="G1008" t="s">
        <v>25</v>
      </c>
      <c r="H1008" s="5">
        <v>2689</v>
      </c>
      <c r="I1008">
        <v>3</v>
      </c>
      <c r="J1008" s="5">
        <v>1330</v>
      </c>
    </row>
    <row r="1009" spans="1:10" x14ac:dyDescent="0.35">
      <c r="A1009" s="1">
        <v>45442</v>
      </c>
      <c r="B1009" s="2">
        <f>YEAR(Sales_Dataset[[#This Row],[Order Date]])</f>
        <v>2024</v>
      </c>
      <c r="C1009" s="2">
        <f>MONTH(Sales_Dataset[[#This Row],[Order Date]])</f>
        <v>5</v>
      </c>
      <c r="D1009" t="s">
        <v>40</v>
      </c>
      <c r="E1009" t="s">
        <v>15</v>
      </c>
      <c r="F1009" t="s">
        <v>10</v>
      </c>
      <c r="G1009" t="s">
        <v>41</v>
      </c>
      <c r="H1009" s="5">
        <v>9380</v>
      </c>
      <c r="I1009">
        <v>11</v>
      </c>
      <c r="J1009" s="5">
        <v>414</v>
      </c>
    </row>
    <row r="1010" spans="1:10" x14ac:dyDescent="0.35">
      <c r="A1010" s="1">
        <v>45442</v>
      </c>
      <c r="B1010" s="2">
        <f>YEAR(Sales_Dataset[[#This Row],[Order Date]])</f>
        <v>2024</v>
      </c>
      <c r="C1010" s="2">
        <f>MONTH(Sales_Dataset[[#This Row],[Order Date]])</f>
        <v>5</v>
      </c>
      <c r="D1010" t="s">
        <v>40</v>
      </c>
      <c r="E1010" t="s">
        <v>15</v>
      </c>
      <c r="F1010" t="s">
        <v>18</v>
      </c>
      <c r="G1010" t="s">
        <v>39</v>
      </c>
      <c r="H1010" s="5">
        <v>8558</v>
      </c>
      <c r="I1010">
        <v>18</v>
      </c>
      <c r="J1010" s="5">
        <v>1644</v>
      </c>
    </row>
    <row r="1011" spans="1:10" x14ac:dyDescent="0.35">
      <c r="A1011" s="1">
        <v>45442</v>
      </c>
      <c r="B1011" s="2">
        <f>YEAR(Sales_Dataset[[#This Row],[Order Date]])</f>
        <v>2024</v>
      </c>
      <c r="C1011" s="2">
        <f>MONTH(Sales_Dataset[[#This Row],[Order Date]])</f>
        <v>5</v>
      </c>
      <c r="D1011" t="s">
        <v>40</v>
      </c>
      <c r="E1011" t="s">
        <v>15</v>
      </c>
      <c r="F1011" t="s">
        <v>18</v>
      </c>
      <c r="G1011" t="s">
        <v>33</v>
      </c>
      <c r="H1011" s="5">
        <v>4080</v>
      </c>
      <c r="I1011">
        <v>17</v>
      </c>
      <c r="J1011" s="5">
        <v>72</v>
      </c>
    </row>
    <row r="1012" spans="1:10" x14ac:dyDescent="0.35">
      <c r="A1012" s="1">
        <v>45443</v>
      </c>
      <c r="B1012" s="2">
        <f>YEAR(Sales_Dataset[[#This Row],[Order Date]])</f>
        <v>2024</v>
      </c>
      <c r="C1012" s="2">
        <f>MONTH(Sales_Dataset[[#This Row],[Order Date]])</f>
        <v>5</v>
      </c>
      <c r="D1012" t="s">
        <v>126</v>
      </c>
      <c r="E1012" t="s">
        <v>13</v>
      </c>
      <c r="F1012" t="s">
        <v>24</v>
      </c>
      <c r="G1012" t="s">
        <v>25</v>
      </c>
      <c r="H1012" s="5">
        <v>6903</v>
      </c>
      <c r="I1012">
        <v>1</v>
      </c>
      <c r="J1012" s="5">
        <v>105</v>
      </c>
    </row>
    <row r="1013" spans="1:10" x14ac:dyDescent="0.35">
      <c r="A1013" s="1">
        <v>45443</v>
      </c>
      <c r="B1013" s="2">
        <f>YEAR(Sales_Dataset[[#This Row],[Order Date]])</f>
        <v>2024</v>
      </c>
      <c r="C1013" s="2">
        <f>MONTH(Sales_Dataset[[#This Row],[Order Date]])</f>
        <v>5</v>
      </c>
      <c r="D1013" t="s">
        <v>126</v>
      </c>
      <c r="E1013" t="s">
        <v>13</v>
      </c>
      <c r="F1013" t="s">
        <v>18</v>
      </c>
      <c r="G1013" t="s">
        <v>19</v>
      </c>
      <c r="H1013" s="5">
        <v>8793</v>
      </c>
      <c r="I1013">
        <v>7</v>
      </c>
      <c r="J1013" s="5">
        <v>3010</v>
      </c>
    </row>
    <row r="1014" spans="1:10" x14ac:dyDescent="0.35">
      <c r="A1014" s="1">
        <v>45449</v>
      </c>
      <c r="B1014" s="2">
        <f>YEAR(Sales_Dataset[[#This Row],[Order Date]])</f>
        <v>2024</v>
      </c>
      <c r="C1014" s="2">
        <f>MONTH(Sales_Dataset[[#This Row],[Order Date]])</f>
        <v>6</v>
      </c>
      <c r="D1014" t="s">
        <v>385</v>
      </c>
      <c r="E1014" t="s">
        <v>22</v>
      </c>
      <c r="F1014" t="s">
        <v>24</v>
      </c>
      <c r="G1014" t="s">
        <v>27</v>
      </c>
      <c r="H1014" s="5">
        <v>1133</v>
      </c>
      <c r="I1014">
        <v>17</v>
      </c>
      <c r="J1014" s="5">
        <v>73</v>
      </c>
    </row>
    <row r="1015" spans="1:10" x14ac:dyDescent="0.35">
      <c r="A1015" s="1">
        <v>45449</v>
      </c>
      <c r="B1015" s="2">
        <f>YEAR(Sales_Dataset[[#This Row],[Order Date]])</f>
        <v>2024</v>
      </c>
      <c r="C1015" s="2">
        <f>MONTH(Sales_Dataset[[#This Row],[Order Date]])</f>
        <v>6</v>
      </c>
      <c r="D1015" t="s">
        <v>385</v>
      </c>
      <c r="E1015" t="s">
        <v>22</v>
      </c>
      <c r="F1015" t="s">
        <v>24</v>
      </c>
      <c r="G1015" t="s">
        <v>51</v>
      </c>
      <c r="H1015" s="5">
        <v>6248</v>
      </c>
      <c r="I1015">
        <v>19</v>
      </c>
      <c r="J1015" s="5">
        <v>1168</v>
      </c>
    </row>
    <row r="1016" spans="1:10" x14ac:dyDescent="0.35">
      <c r="A1016" s="1">
        <v>45450</v>
      </c>
      <c r="B1016" s="2">
        <f>YEAR(Sales_Dataset[[#This Row],[Order Date]])</f>
        <v>2024</v>
      </c>
      <c r="C1016" s="2">
        <f>MONTH(Sales_Dataset[[#This Row],[Order Date]])</f>
        <v>6</v>
      </c>
      <c r="D1016" t="s">
        <v>222</v>
      </c>
      <c r="E1016" t="s">
        <v>15</v>
      </c>
      <c r="F1016" t="s">
        <v>10</v>
      </c>
      <c r="G1016" t="s">
        <v>23</v>
      </c>
      <c r="H1016" s="5">
        <v>7333</v>
      </c>
      <c r="I1016">
        <v>4</v>
      </c>
      <c r="J1016" s="5">
        <v>1576</v>
      </c>
    </row>
    <row r="1017" spans="1:10" x14ac:dyDescent="0.35">
      <c r="A1017" s="1">
        <v>45451</v>
      </c>
      <c r="B1017" s="2">
        <f>YEAR(Sales_Dataset[[#This Row],[Order Date]])</f>
        <v>2024</v>
      </c>
      <c r="C1017" s="2">
        <f>MONTH(Sales_Dataset[[#This Row],[Order Date]])</f>
        <v>6</v>
      </c>
      <c r="D1017" t="s">
        <v>633</v>
      </c>
      <c r="E1017" t="s">
        <v>15</v>
      </c>
      <c r="F1017" t="s">
        <v>24</v>
      </c>
      <c r="G1017" t="s">
        <v>31</v>
      </c>
      <c r="H1017" s="5">
        <v>9914</v>
      </c>
      <c r="I1017">
        <v>16</v>
      </c>
      <c r="J1017" s="5">
        <v>3858</v>
      </c>
    </row>
    <row r="1018" spans="1:10" x14ac:dyDescent="0.35">
      <c r="A1018" s="1">
        <v>45451</v>
      </c>
      <c r="B1018" s="2">
        <f>YEAR(Sales_Dataset[[#This Row],[Order Date]])</f>
        <v>2024</v>
      </c>
      <c r="C1018" s="2">
        <f>MONTH(Sales_Dataset[[#This Row],[Order Date]])</f>
        <v>6</v>
      </c>
      <c r="D1018" t="s">
        <v>633</v>
      </c>
      <c r="E1018" t="s">
        <v>15</v>
      </c>
      <c r="F1018" t="s">
        <v>18</v>
      </c>
      <c r="G1018" t="s">
        <v>19</v>
      </c>
      <c r="H1018" s="5">
        <v>5470</v>
      </c>
      <c r="I1018">
        <v>7</v>
      </c>
      <c r="J1018" s="5">
        <v>292</v>
      </c>
    </row>
    <row r="1019" spans="1:10" x14ac:dyDescent="0.35">
      <c r="A1019" s="1">
        <v>45451</v>
      </c>
      <c r="B1019" s="2">
        <f>YEAR(Sales_Dataset[[#This Row],[Order Date]])</f>
        <v>2024</v>
      </c>
      <c r="C1019" s="2">
        <f>MONTH(Sales_Dataset[[#This Row],[Order Date]])</f>
        <v>6</v>
      </c>
      <c r="D1019" t="s">
        <v>633</v>
      </c>
      <c r="E1019" t="s">
        <v>15</v>
      </c>
      <c r="F1019" t="s">
        <v>24</v>
      </c>
      <c r="G1019" t="s">
        <v>51</v>
      </c>
      <c r="H1019" s="5">
        <v>1496</v>
      </c>
      <c r="I1019">
        <v>17</v>
      </c>
      <c r="J1019" s="5">
        <v>662</v>
      </c>
    </row>
    <row r="1020" spans="1:10" x14ac:dyDescent="0.35">
      <c r="A1020" s="1">
        <v>45455</v>
      </c>
      <c r="B1020" s="2">
        <f>YEAR(Sales_Dataset[[#This Row],[Order Date]])</f>
        <v>2024</v>
      </c>
      <c r="C1020" s="2">
        <f>MONTH(Sales_Dataset[[#This Row],[Order Date]])</f>
        <v>6</v>
      </c>
      <c r="D1020" t="s">
        <v>278</v>
      </c>
      <c r="E1020" t="s">
        <v>22</v>
      </c>
      <c r="F1020" t="s">
        <v>10</v>
      </c>
      <c r="G1020" t="s">
        <v>41</v>
      </c>
      <c r="H1020" s="5">
        <v>3944</v>
      </c>
      <c r="I1020">
        <v>18</v>
      </c>
      <c r="J1020" s="5">
        <v>1559</v>
      </c>
    </row>
    <row r="1021" spans="1:10" x14ac:dyDescent="0.35">
      <c r="A1021" s="1">
        <v>45455</v>
      </c>
      <c r="B1021" s="2">
        <f>YEAR(Sales_Dataset[[#This Row],[Order Date]])</f>
        <v>2024</v>
      </c>
      <c r="C1021" s="2">
        <f>MONTH(Sales_Dataset[[#This Row],[Order Date]])</f>
        <v>6</v>
      </c>
      <c r="D1021" t="s">
        <v>278</v>
      </c>
      <c r="E1021" t="s">
        <v>22</v>
      </c>
      <c r="F1021" t="s">
        <v>18</v>
      </c>
      <c r="G1021" t="s">
        <v>19</v>
      </c>
      <c r="H1021" s="5">
        <v>6711</v>
      </c>
      <c r="I1021">
        <v>12</v>
      </c>
      <c r="J1021" s="5">
        <v>1045</v>
      </c>
    </row>
    <row r="1022" spans="1:10" x14ac:dyDescent="0.35">
      <c r="A1022" s="1">
        <v>45455</v>
      </c>
      <c r="B1022" s="2">
        <f>YEAR(Sales_Dataset[[#This Row],[Order Date]])</f>
        <v>2024</v>
      </c>
      <c r="C1022" s="2">
        <f>MONTH(Sales_Dataset[[#This Row],[Order Date]])</f>
        <v>6</v>
      </c>
      <c r="D1022" t="s">
        <v>278</v>
      </c>
      <c r="E1022" t="s">
        <v>22</v>
      </c>
      <c r="F1022" t="s">
        <v>24</v>
      </c>
      <c r="G1022" t="s">
        <v>25</v>
      </c>
      <c r="H1022" s="5">
        <v>5031</v>
      </c>
      <c r="I1022">
        <v>4</v>
      </c>
      <c r="J1022" s="5">
        <v>714</v>
      </c>
    </row>
    <row r="1023" spans="1:10" x14ac:dyDescent="0.35">
      <c r="A1023" s="1">
        <v>45455</v>
      </c>
      <c r="B1023" s="2">
        <f>YEAR(Sales_Dataset[[#This Row],[Order Date]])</f>
        <v>2024</v>
      </c>
      <c r="C1023" s="2">
        <f>MONTH(Sales_Dataset[[#This Row],[Order Date]])</f>
        <v>6</v>
      </c>
      <c r="D1023" t="s">
        <v>278</v>
      </c>
      <c r="E1023" t="s">
        <v>22</v>
      </c>
      <c r="F1023" t="s">
        <v>18</v>
      </c>
      <c r="G1023" t="s">
        <v>39</v>
      </c>
      <c r="H1023" s="5">
        <v>6295</v>
      </c>
      <c r="I1023">
        <v>14</v>
      </c>
      <c r="J1023" s="5">
        <v>2469</v>
      </c>
    </row>
    <row r="1024" spans="1:10" x14ac:dyDescent="0.35">
      <c r="A1024" s="1">
        <v>45458</v>
      </c>
      <c r="B1024" s="2">
        <f>YEAR(Sales_Dataset[[#This Row],[Order Date]])</f>
        <v>2024</v>
      </c>
      <c r="C1024" s="2">
        <f>MONTH(Sales_Dataset[[#This Row],[Order Date]])</f>
        <v>6</v>
      </c>
      <c r="D1024" t="s">
        <v>244</v>
      </c>
      <c r="E1024" t="s">
        <v>15</v>
      </c>
      <c r="F1024" t="s">
        <v>18</v>
      </c>
      <c r="G1024" t="s">
        <v>30</v>
      </c>
      <c r="H1024" s="5">
        <v>1290</v>
      </c>
      <c r="I1024">
        <v>12</v>
      </c>
      <c r="J1024" s="5">
        <v>204</v>
      </c>
    </row>
    <row r="1025" spans="1:10" x14ac:dyDescent="0.35">
      <c r="A1025" s="1">
        <v>45458</v>
      </c>
      <c r="B1025" s="2">
        <f>YEAR(Sales_Dataset[[#This Row],[Order Date]])</f>
        <v>2024</v>
      </c>
      <c r="C1025" s="2">
        <f>MONTH(Sales_Dataset[[#This Row],[Order Date]])</f>
        <v>6</v>
      </c>
      <c r="D1025" t="s">
        <v>729</v>
      </c>
      <c r="E1025" t="s">
        <v>15</v>
      </c>
      <c r="F1025" t="s">
        <v>10</v>
      </c>
      <c r="G1025" t="s">
        <v>11</v>
      </c>
      <c r="H1025" s="5">
        <v>2684</v>
      </c>
      <c r="I1025">
        <v>2</v>
      </c>
      <c r="J1025" s="5">
        <v>713</v>
      </c>
    </row>
    <row r="1026" spans="1:10" x14ac:dyDescent="0.35">
      <c r="A1026" s="1">
        <v>45458</v>
      </c>
      <c r="B1026" s="2">
        <f>YEAR(Sales_Dataset[[#This Row],[Order Date]])</f>
        <v>2024</v>
      </c>
      <c r="C1026" s="2">
        <f>MONTH(Sales_Dataset[[#This Row],[Order Date]])</f>
        <v>6</v>
      </c>
      <c r="D1026" t="s">
        <v>802</v>
      </c>
      <c r="E1026" t="s">
        <v>15</v>
      </c>
      <c r="F1026" t="s">
        <v>10</v>
      </c>
      <c r="G1026" t="s">
        <v>11</v>
      </c>
      <c r="H1026" s="5">
        <v>6499</v>
      </c>
      <c r="I1026">
        <v>18</v>
      </c>
      <c r="J1026" s="5">
        <v>2189</v>
      </c>
    </row>
    <row r="1027" spans="1:10" x14ac:dyDescent="0.35">
      <c r="A1027" s="1">
        <v>45459</v>
      </c>
      <c r="B1027" s="2">
        <f>YEAR(Sales_Dataset[[#This Row],[Order Date]])</f>
        <v>2024</v>
      </c>
      <c r="C1027" s="2">
        <f>MONTH(Sales_Dataset[[#This Row],[Order Date]])</f>
        <v>6</v>
      </c>
      <c r="D1027" t="s">
        <v>229</v>
      </c>
      <c r="E1027" t="s">
        <v>9</v>
      </c>
      <c r="F1027" t="s">
        <v>10</v>
      </c>
      <c r="G1027" t="s">
        <v>23</v>
      </c>
      <c r="H1027" s="5">
        <v>6113</v>
      </c>
      <c r="I1027">
        <v>6</v>
      </c>
      <c r="J1027" s="5">
        <v>2508</v>
      </c>
    </row>
    <row r="1028" spans="1:10" x14ac:dyDescent="0.35">
      <c r="A1028" s="1">
        <v>45459</v>
      </c>
      <c r="B1028" s="2">
        <f>YEAR(Sales_Dataset[[#This Row],[Order Date]])</f>
        <v>2024</v>
      </c>
      <c r="C1028" s="2">
        <f>MONTH(Sales_Dataset[[#This Row],[Order Date]])</f>
        <v>6</v>
      </c>
      <c r="D1028" t="s">
        <v>229</v>
      </c>
      <c r="E1028" t="s">
        <v>9</v>
      </c>
      <c r="F1028" t="s">
        <v>24</v>
      </c>
      <c r="G1028" t="s">
        <v>25</v>
      </c>
      <c r="H1028" s="5">
        <v>7733</v>
      </c>
      <c r="I1028">
        <v>15</v>
      </c>
      <c r="J1028" s="5">
        <v>2784</v>
      </c>
    </row>
    <row r="1029" spans="1:10" x14ac:dyDescent="0.35">
      <c r="A1029" s="1">
        <v>45459</v>
      </c>
      <c r="B1029" s="2">
        <f>YEAR(Sales_Dataset[[#This Row],[Order Date]])</f>
        <v>2024</v>
      </c>
      <c r="C1029" s="2">
        <f>MONTH(Sales_Dataset[[#This Row],[Order Date]])</f>
        <v>6</v>
      </c>
      <c r="D1029" t="s">
        <v>229</v>
      </c>
      <c r="E1029" t="s">
        <v>9</v>
      </c>
      <c r="F1029" t="s">
        <v>24</v>
      </c>
      <c r="G1029" t="s">
        <v>25</v>
      </c>
      <c r="H1029" s="5">
        <v>8524</v>
      </c>
      <c r="I1029">
        <v>14</v>
      </c>
      <c r="J1029" s="5">
        <v>154</v>
      </c>
    </row>
    <row r="1030" spans="1:10" x14ac:dyDescent="0.35">
      <c r="A1030" s="1">
        <v>45459</v>
      </c>
      <c r="B1030" s="2">
        <f>YEAR(Sales_Dataset[[#This Row],[Order Date]])</f>
        <v>2024</v>
      </c>
      <c r="C1030" s="2">
        <f>MONTH(Sales_Dataset[[#This Row],[Order Date]])</f>
        <v>6</v>
      </c>
      <c r="D1030" t="s">
        <v>229</v>
      </c>
      <c r="E1030" t="s">
        <v>9</v>
      </c>
      <c r="F1030" t="s">
        <v>24</v>
      </c>
      <c r="G1030" t="s">
        <v>51</v>
      </c>
      <c r="H1030" s="5">
        <v>6187</v>
      </c>
      <c r="I1030">
        <v>15</v>
      </c>
      <c r="J1030" s="5">
        <v>2344</v>
      </c>
    </row>
    <row r="1031" spans="1:10" x14ac:dyDescent="0.35">
      <c r="A1031" s="1">
        <v>45459</v>
      </c>
      <c r="B1031" s="2">
        <f>YEAR(Sales_Dataset[[#This Row],[Order Date]])</f>
        <v>2024</v>
      </c>
      <c r="C1031" s="2">
        <f>MONTH(Sales_Dataset[[#This Row],[Order Date]])</f>
        <v>6</v>
      </c>
      <c r="D1031" t="s">
        <v>309</v>
      </c>
      <c r="E1031" t="s">
        <v>9</v>
      </c>
      <c r="F1031" t="s">
        <v>18</v>
      </c>
      <c r="G1031" t="s">
        <v>33</v>
      </c>
      <c r="H1031" s="5">
        <v>7564</v>
      </c>
      <c r="I1031">
        <v>5</v>
      </c>
      <c r="J1031" s="5">
        <v>3463</v>
      </c>
    </row>
    <row r="1032" spans="1:10" x14ac:dyDescent="0.35">
      <c r="A1032" s="1">
        <v>45459</v>
      </c>
      <c r="B1032" s="2">
        <f>YEAR(Sales_Dataset[[#This Row],[Order Date]])</f>
        <v>2024</v>
      </c>
      <c r="C1032" s="2">
        <f>MONTH(Sales_Dataset[[#This Row],[Order Date]])</f>
        <v>6</v>
      </c>
      <c r="D1032" t="s">
        <v>309</v>
      </c>
      <c r="E1032" t="s">
        <v>9</v>
      </c>
      <c r="F1032" t="s">
        <v>10</v>
      </c>
      <c r="G1032" t="s">
        <v>11</v>
      </c>
      <c r="H1032" s="5">
        <v>3409</v>
      </c>
      <c r="I1032">
        <v>20</v>
      </c>
      <c r="J1032" s="5">
        <v>1605</v>
      </c>
    </row>
    <row r="1033" spans="1:10" x14ac:dyDescent="0.35">
      <c r="A1033" s="1">
        <v>45459</v>
      </c>
      <c r="B1033" s="2">
        <f>YEAR(Sales_Dataset[[#This Row],[Order Date]])</f>
        <v>2024</v>
      </c>
      <c r="C1033" s="2">
        <f>MONTH(Sales_Dataset[[#This Row],[Order Date]])</f>
        <v>6</v>
      </c>
      <c r="D1033" t="s">
        <v>474</v>
      </c>
      <c r="E1033" t="s">
        <v>22</v>
      </c>
      <c r="F1033" t="s">
        <v>24</v>
      </c>
      <c r="G1033" t="s">
        <v>31</v>
      </c>
      <c r="H1033" s="5">
        <v>2663</v>
      </c>
      <c r="I1033">
        <v>19</v>
      </c>
      <c r="J1033" s="5">
        <v>64</v>
      </c>
    </row>
    <row r="1034" spans="1:10" x14ac:dyDescent="0.35">
      <c r="A1034" s="1">
        <v>45465</v>
      </c>
      <c r="B1034" s="2">
        <f>YEAR(Sales_Dataset[[#This Row],[Order Date]])</f>
        <v>2024</v>
      </c>
      <c r="C1034" s="2">
        <f>MONTH(Sales_Dataset[[#This Row],[Order Date]])</f>
        <v>6</v>
      </c>
      <c r="D1034" t="s">
        <v>531</v>
      </c>
      <c r="E1034" t="s">
        <v>22</v>
      </c>
      <c r="F1034" t="s">
        <v>24</v>
      </c>
      <c r="G1034" t="s">
        <v>51</v>
      </c>
      <c r="H1034" s="5">
        <v>3659</v>
      </c>
      <c r="I1034">
        <v>5</v>
      </c>
      <c r="J1034" s="5">
        <v>379</v>
      </c>
    </row>
    <row r="1035" spans="1:10" x14ac:dyDescent="0.35">
      <c r="A1035" s="1">
        <v>45466</v>
      </c>
      <c r="B1035" s="2">
        <f>YEAR(Sales_Dataset[[#This Row],[Order Date]])</f>
        <v>2024</v>
      </c>
      <c r="C1035" s="2">
        <f>MONTH(Sales_Dataset[[#This Row],[Order Date]])</f>
        <v>6</v>
      </c>
      <c r="D1035" t="s">
        <v>221</v>
      </c>
      <c r="E1035" t="s">
        <v>22</v>
      </c>
      <c r="F1035" t="s">
        <v>24</v>
      </c>
      <c r="G1035" t="s">
        <v>51</v>
      </c>
      <c r="H1035" s="5">
        <v>622</v>
      </c>
      <c r="I1035">
        <v>19</v>
      </c>
      <c r="J1035" s="5">
        <v>218</v>
      </c>
    </row>
    <row r="1036" spans="1:10" x14ac:dyDescent="0.35">
      <c r="A1036" s="1">
        <v>45466</v>
      </c>
      <c r="B1036" s="2">
        <f>YEAR(Sales_Dataset[[#This Row],[Order Date]])</f>
        <v>2024</v>
      </c>
      <c r="C1036" s="2">
        <f>MONTH(Sales_Dataset[[#This Row],[Order Date]])</f>
        <v>6</v>
      </c>
      <c r="D1036" t="s">
        <v>221</v>
      </c>
      <c r="E1036" t="s">
        <v>22</v>
      </c>
      <c r="F1036" t="s">
        <v>18</v>
      </c>
      <c r="G1036" t="s">
        <v>19</v>
      </c>
      <c r="H1036" s="5">
        <v>1755</v>
      </c>
      <c r="I1036">
        <v>18</v>
      </c>
      <c r="J1036" s="5">
        <v>495</v>
      </c>
    </row>
    <row r="1037" spans="1:10" x14ac:dyDescent="0.35">
      <c r="A1037" s="1">
        <v>45466</v>
      </c>
      <c r="B1037" s="2">
        <f>YEAR(Sales_Dataset[[#This Row],[Order Date]])</f>
        <v>2024</v>
      </c>
      <c r="C1037" s="2">
        <f>MONTH(Sales_Dataset[[#This Row],[Order Date]])</f>
        <v>6</v>
      </c>
      <c r="D1037" t="s">
        <v>221</v>
      </c>
      <c r="E1037" t="s">
        <v>22</v>
      </c>
      <c r="F1037" t="s">
        <v>10</v>
      </c>
      <c r="G1037" t="s">
        <v>11</v>
      </c>
      <c r="H1037" s="5">
        <v>8020</v>
      </c>
      <c r="I1037">
        <v>20</v>
      </c>
      <c r="J1037" s="5">
        <v>3898</v>
      </c>
    </row>
    <row r="1038" spans="1:10" x14ac:dyDescent="0.35">
      <c r="A1038" s="1">
        <v>45468</v>
      </c>
      <c r="B1038" s="2">
        <f>YEAR(Sales_Dataset[[#This Row],[Order Date]])</f>
        <v>2024</v>
      </c>
      <c r="C1038" s="2">
        <f>MONTH(Sales_Dataset[[#This Row],[Order Date]])</f>
        <v>6</v>
      </c>
      <c r="D1038" t="s">
        <v>125</v>
      </c>
      <c r="E1038" t="s">
        <v>9</v>
      </c>
      <c r="F1038" t="s">
        <v>18</v>
      </c>
      <c r="G1038" t="s">
        <v>30</v>
      </c>
      <c r="H1038" s="5">
        <v>8850</v>
      </c>
      <c r="I1038">
        <v>13</v>
      </c>
      <c r="J1038" s="5">
        <v>279</v>
      </c>
    </row>
    <row r="1039" spans="1:10" x14ac:dyDescent="0.35">
      <c r="A1039" s="1">
        <v>45468</v>
      </c>
      <c r="B1039" s="2">
        <f>YEAR(Sales_Dataset[[#This Row],[Order Date]])</f>
        <v>2024</v>
      </c>
      <c r="C1039" s="2">
        <f>MONTH(Sales_Dataset[[#This Row],[Order Date]])</f>
        <v>6</v>
      </c>
      <c r="D1039" t="s">
        <v>125</v>
      </c>
      <c r="E1039" t="s">
        <v>9</v>
      </c>
      <c r="F1039" t="s">
        <v>18</v>
      </c>
      <c r="G1039" t="s">
        <v>33</v>
      </c>
      <c r="H1039" s="5">
        <v>8667</v>
      </c>
      <c r="I1039">
        <v>6</v>
      </c>
      <c r="J1039" s="5">
        <v>1266</v>
      </c>
    </row>
    <row r="1040" spans="1:10" x14ac:dyDescent="0.35">
      <c r="A1040" s="1">
        <v>45469</v>
      </c>
      <c r="B1040" s="2">
        <f>YEAR(Sales_Dataset[[#This Row],[Order Date]])</f>
        <v>2024</v>
      </c>
      <c r="C1040" s="2">
        <f>MONTH(Sales_Dataset[[#This Row],[Order Date]])</f>
        <v>6</v>
      </c>
      <c r="D1040" t="s">
        <v>667</v>
      </c>
      <c r="E1040" t="s">
        <v>13</v>
      </c>
      <c r="F1040" t="s">
        <v>10</v>
      </c>
      <c r="G1040" t="s">
        <v>11</v>
      </c>
      <c r="H1040" s="5">
        <v>2931</v>
      </c>
      <c r="I1040">
        <v>7</v>
      </c>
      <c r="J1040" s="5">
        <v>212</v>
      </c>
    </row>
    <row r="1041" spans="1:10" x14ac:dyDescent="0.35">
      <c r="A1041" s="1">
        <v>45474</v>
      </c>
      <c r="B1041" s="2">
        <f>YEAR(Sales_Dataset[[#This Row],[Order Date]])</f>
        <v>2024</v>
      </c>
      <c r="C1041" s="2">
        <f>MONTH(Sales_Dataset[[#This Row],[Order Date]])</f>
        <v>7</v>
      </c>
      <c r="D1041" t="s">
        <v>312</v>
      </c>
      <c r="E1041" t="s">
        <v>36</v>
      </c>
      <c r="F1041" t="s">
        <v>18</v>
      </c>
      <c r="G1041" t="s">
        <v>33</v>
      </c>
      <c r="H1041" s="5">
        <v>7564</v>
      </c>
      <c r="I1041">
        <v>5</v>
      </c>
      <c r="J1041" s="5">
        <v>3463</v>
      </c>
    </row>
    <row r="1042" spans="1:10" x14ac:dyDescent="0.35">
      <c r="A1042" s="1">
        <v>45474</v>
      </c>
      <c r="B1042" s="2">
        <f>YEAR(Sales_Dataset[[#This Row],[Order Date]])</f>
        <v>2024</v>
      </c>
      <c r="C1042" s="2">
        <f>MONTH(Sales_Dataset[[#This Row],[Order Date]])</f>
        <v>7</v>
      </c>
      <c r="D1042" t="s">
        <v>312</v>
      </c>
      <c r="E1042" t="s">
        <v>36</v>
      </c>
      <c r="F1042" t="s">
        <v>10</v>
      </c>
      <c r="G1042" t="s">
        <v>11</v>
      </c>
      <c r="H1042" s="5">
        <v>3409</v>
      </c>
      <c r="I1042">
        <v>20</v>
      </c>
      <c r="J1042" s="5">
        <v>1605</v>
      </c>
    </row>
    <row r="1043" spans="1:10" x14ac:dyDescent="0.35">
      <c r="A1043" s="1">
        <v>45475</v>
      </c>
      <c r="B1043" s="2">
        <f>YEAR(Sales_Dataset[[#This Row],[Order Date]])</f>
        <v>2024</v>
      </c>
      <c r="C1043" s="2">
        <f>MONTH(Sales_Dataset[[#This Row],[Order Date]])</f>
        <v>7</v>
      </c>
      <c r="D1043" t="s">
        <v>101</v>
      </c>
      <c r="E1043" t="s">
        <v>9</v>
      </c>
      <c r="F1043" t="s">
        <v>18</v>
      </c>
      <c r="G1043" t="s">
        <v>33</v>
      </c>
      <c r="H1043" s="5">
        <v>2684</v>
      </c>
      <c r="I1043">
        <v>2</v>
      </c>
      <c r="J1043" s="5">
        <v>670</v>
      </c>
    </row>
    <row r="1044" spans="1:10" x14ac:dyDescent="0.35">
      <c r="A1044" s="1">
        <v>45475</v>
      </c>
      <c r="B1044" s="2">
        <f>YEAR(Sales_Dataset[[#This Row],[Order Date]])</f>
        <v>2024</v>
      </c>
      <c r="C1044" s="2">
        <f>MONTH(Sales_Dataset[[#This Row],[Order Date]])</f>
        <v>7</v>
      </c>
      <c r="D1044" t="s">
        <v>101</v>
      </c>
      <c r="E1044" t="s">
        <v>9</v>
      </c>
      <c r="F1044" t="s">
        <v>24</v>
      </c>
      <c r="G1044" t="s">
        <v>31</v>
      </c>
      <c r="H1044" s="5">
        <v>822</v>
      </c>
      <c r="I1044">
        <v>5</v>
      </c>
      <c r="J1044" s="5">
        <v>147</v>
      </c>
    </row>
    <row r="1045" spans="1:10" x14ac:dyDescent="0.35">
      <c r="A1045" s="1">
        <v>45475</v>
      </c>
      <c r="B1045" s="2">
        <f>YEAR(Sales_Dataset[[#This Row],[Order Date]])</f>
        <v>2024</v>
      </c>
      <c r="C1045" s="2">
        <f>MONTH(Sales_Dataset[[#This Row],[Order Date]])</f>
        <v>7</v>
      </c>
      <c r="D1045" t="s">
        <v>101</v>
      </c>
      <c r="E1045" t="s">
        <v>9</v>
      </c>
      <c r="F1045" t="s">
        <v>24</v>
      </c>
      <c r="G1045" t="s">
        <v>27</v>
      </c>
      <c r="H1045" s="5">
        <v>9730</v>
      </c>
      <c r="I1045">
        <v>2</v>
      </c>
      <c r="J1045" s="5">
        <v>2341</v>
      </c>
    </row>
    <row r="1046" spans="1:10" x14ac:dyDescent="0.35">
      <c r="A1046" s="1">
        <v>45475</v>
      </c>
      <c r="B1046" s="2">
        <f>YEAR(Sales_Dataset[[#This Row],[Order Date]])</f>
        <v>2024</v>
      </c>
      <c r="C1046" s="2">
        <f>MONTH(Sales_Dataset[[#This Row],[Order Date]])</f>
        <v>7</v>
      </c>
      <c r="D1046" t="s">
        <v>101</v>
      </c>
      <c r="E1046" t="s">
        <v>9</v>
      </c>
      <c r="F1046" t="s">
        <v>10</v>
      </c>
      <c r="G1046" t="s">
        <v>11</v>
      </c>
      <c r="H1046" s="5">
        <v>2483</v>
      </c>
      <c r="I1046">
        <v>2</v>
      </c>
      <c r="J1046" s="5">
        <v>236</v>
      </c>
    </row>
    <row r="1047" spans="1:10" x14ac:dyDescent="0.35">
      <c r="A1047" s="1">
        <v>45475</v>
      </c>
      <c r="B1047" s="2">
        <f>YEAR(Sales_Dataset[[#This Row],[Order Date]])</f>
        <v>2024</v>
      </c>
      <c r="C1047" s="2">
        <f>MONTH(Sales_Dataset[[#This Row],[Order Date]])</f>
        <v>7</v>
      </c>
      <c r="D1047" t="s">
        <v>590</v>
      </c>
      <c r="E1047" t="s">
        <v>13</v>
      </c>
      <c r="F1047" t="s">
        <v>18</v>
      </c>
      <c r="G1047" t="s">
        <v>33</v>
      </c>
      <c r="H1047" s="5">
        <v>9565</v>
      </c>
      <c r="I1047">
        <v>3</v>
      </c>
      <c r="J1047" s="5">
        <v>1691</v>
      </c>
    </row>
    <row r="1048" spans="1:10" x14ac:dyDescent="0.35">
      <c r="A1048" s="1">
        <v>45475</v>
      </c>
      <c r="B1048" s="2">
        <f>YEAR(Sales_Dataset[[#This Row],[Order Date]])</f>
        <v>2024</v>
      </c>
      <c r="C1048" s="2">
        <f>MONTH(Sales_Dataset[[#This Row],[Order Date]])</f>
        <v>7</v>
      </c>
      <c r="D1048" t="s">
        <v>590</v>
      </c>
      <c r="E1048" t="s">
        <v>13</v>
      </c>
      <c r="F1048" t="s">
        <v>18</v>
      </c>
      <c r="G1048" t="s">
        <v>33</v>
      </c>
      <c r="H1048" s="5">
        <v>8245</v>
      </c>
      <c r="I1048">
        <v>11</v>
      </c>
      <c r="J1048" s="5">
        <v>324</v>
      </c>
    </row>
    <row r="1049" spans="1:10" x14ac:dyDescent="0.35">
      <c r="A1049" s="1">
        <v>45477</v>
      </c>
      <c r="B1049" s="2">
        <f>YEAR(Sales_Dataset[[#This Row],[Order Date]])</f>
        <v>2024</v>
      </c>
      <c r="C1049" s="2">
        <f>MONTH(Sales_Dataset[[#This Row],[Order Date]])</f>
        <v>7</v>
      </c>
      <c r="D1049" t="s">
        <v>435</v>
      </c>
      <c r="E1049" t="s">
        <v>36</v>
      </c>
      <c r="F1049" t="s">
        <v>24</v>
      </c>
      <c r="G1049" t="s">
        <v>51</v>
      </c>
      <c r="H1049" s="5">
        <v>3098</v>
      </c>
      <c r="I1049">
        <v>18</v>
      </c>
      <c r="J1049" s="5">
        <v>957</v>
      </c>
    </row>
    <row r="1050" spans="1:10" x14ac:dyDescent="0.35">
      <c r="A1050" s="1">
        <v>45478</v>
      </c>
      <c r="B1050" s="2">
        <f>YEAR(Sales_Dataset[[#This Row],[Order Date]])</f>
        <v>2024</v>
      </c>
      <c r="C1050" s="2">
        <f>MONTH(Sales_Dataset[[#This Row],[Order Date]])</f>
        <v>7</v>
      </c>
      <c r="D1050" t="s">
        <v>124</v>
      </c>
      <c r="E1050" t="s">
        <v>9</v>
      </c>
      <c r="F1050" t="s">
        <v>24</v>
      </c>
      <c r="G1050" t="s">
        <v>25</v>
      </c>
      <c r="H1050" s="5">
        <v>1895</v>
      </c>
      <c r="I1050">
        <v>14</v>
      </c>
      <c r="J1050" s="5">
        <v>391</v>
      </c>
    </row>
    <row r="1051" spans="1:10" x14ac:dyDescent="0.35">
      <c r="A1051" s="1">
        <v>45478</v>
      </c>
      <c r="B1051" s="2">
        <f>YEAR(Sales_Dataset[[#This Row],[Order Date]])</f>
        <v>2024</v>
      </c>
      <c r="C1051" s="2">
        <f>MONTH(Sales_Dataset[[#This Row],[Order Date]])</f>
        <v>7</v>
      </c>
      <c r="D1051" t="s">
        <v>124</v>
      </c>
      <c r="E1051" t="s">
        <v>9</v>
      </c>
      <c r="F1051" t="s">
        <v>18</v>
      </c>
      <c r="G1051" t="s">
        <v>39</v>
      </c>
      <c r="H1051" s="5">
        <v>5323</v>
      </c>
      <c r="I1051">
        <v>13</v>
      </c>
      <c r="J1051" s="5">
        <v>322</v>
      </c>
    </row>
    <row r="1052" spans="1:10" x14ac:dyDescent="0.35">
      <c r="A1052" s="1">
        <v>45480</v>
      </c>
      <c r="B1052" s="2">
        <f>YEAR(Sales_Dataset[[#This Row],[Order Date]])</f>
        <v>2024</v>
      </c>
      <c r="C1052" s="2">
        <f>MONTH(Sales_Dataset[[#This Row],[Order Date]])</f>
        <v>7</v>
      </c>
      <c r="D1052" t="s">
        <v>603</v>
      </c>
      <c r="E1052" t="s">
        <v>36</v>
      </c>
      <c r="F1052" t="s">
        <v>10</v>
      </c>
      <c r="G1052" t="s">
        <v>11</v>
      </c>
      <c r="H1052" s="5">
        <v>8780</v>
      </c>
      <c r="I1052">
        <v>4</v>
      </c>
      <c r="J1052" s="5">
        <v>3430</v>
      </c>
    </row>
    <row r="1053" spans="1:10" x14ac:dyDescent="0.35">
      <c r="A1053" s="1">
        <v>45481</v>
      </c>
      <c r="B1053" s="2">
        <f>YEAR(Sales_Dataset[[#This Row],[Order Date]])</f>
        <v>2024</v>
      </c>
      <c r="C1053" s="2">
        <f>MONTH(Sales_Dataset[[#This Row],[Order Date]])</f>
        <v>7</v>
      </c>
      <c r="D1053" t="s">
        <v>442</v>
      </c>
      <c r="E1053" t="s">
        <v>15</v>
      </c>
      <c r="F1053" t="s">
        <v>18</v>
      </c>
      <c r="G1053" t="s">
        <v>33</v>
      </c>
      <c r="H1053" s="5">
        <v>9653</v>
      </c>
      <c r="I1053">
        <v>6</v>
      </c>
      <c r="J1053" s="5">
        <v>2471</v>
      </c>
    </row>
    <row r="1054" spans="1:10" x14ac:dyDescent="0.35">
      <c r="A1054" s="1">
        <v>45482</v>
      </c>
      <c r="B1054" s="2">
        <f>YEAR(Sales_Dataset[[#This Row],[Order Date]])</f>
        <v>2024</v>
      </c>
      <c r="C1054" s="2">
        <f>MONTH(Sales_Dataset[[#This Row],[Order Date]])</f>
        <v>7</v>
      </c>
      <c r="D1054" t="s">
        <v>107</v>
      </c>
      <c r="E1054" t="s">
        <v>22</v>
      </c>
      <c r="F1054" t="s">
        <v>18</v>
      </c>
      <c r="G1054" t="s">
        <v>30</v>
      </c>
      <c r="H1054" s="5">
        <v>1801</v>
      </c>
      <c r="I1054">
        <v>20</v>
      </c>
      <c r="J1054" s="5">
        <v>641</v>
      </c>
    </row>
    <row r="1055" spans="1:10" x14ac:dyDescent="0.35">
      <c r="A1055" s="1">
        <v>45482</v>
      </c>
      <c r="B1055" s="2">
        <f>YEAR(Sales_Dataset[[#This Row],[Order Date]])</f>
        <v>2024</v>
      </c>
      <c r="C1055" s="2">
        <f>MONTH(Sales_Dataset[[#This Row],[Order Date]])</f>
        <v>7</v>
      </c>
      <c r="D1055" t="s">
        <v>107</v>
      </c>
      <c r="E1055" t="s">
        <v>22</v>
      </c>
      <c r="F1055" t="s">
        <v>24</v>
      </c>
      <c r="G1055" t="s">
        <v>25</v>
      </c>
      <c r="H1055" s="5">
        <v>5301</v>
      </c>
      <c r="I1055">
        <v>10</v>
      </c>
      <c r="J1055" s="5">
        <v>817</v>
      </c>
    </row>
    <row r="1056" spans="1:10" x14ac:dyDescent="0.35">
      <c r="A1056" s="1">
        <v>45482</v>
      </c>
      <c r="B1056" s="2">
        <f>YEAR(Sales_Dataset[[#This Row],[Order Date]])</f>
        <v>2024</v>
      </c>
      <c r="C1056" s="2">
        <f>MONTH(Sales_Dataset[[#This Row],[Order Date]])</f>
        <v>7</v>
      </c>
      <c r="D1056" t="s">
        <v>107</v>
      </c>
      <c r="E1056" t="s">
        <v>22</v>
      </c>
      <c r="F1056" t="s">
        <v>18</v>
      </c>
      <c r="G1056" t="s">
        <v>33</v>
      </c>
      <c r="H1056" s="5">
        <v>1166</v>
      </c>
      <c r="I1056">
        <v>12</v>
      </c>
      <c r="J1056" s="5">
        <v>520</v>
      </c>
    </row>
    <row r="1057" spans="1:10" x14ac:dyDescent="0.35">
      <c r="A1057" s="1">
        <v>45482</v>
      </c>
      <c r="B1057" s="2">
        <f>YEAR(Sales_Dataset[[#This Row],[Order Date]])</f>
        <v>2024</v>
      </c>
      <c r="C1057" s="2">
        <f>MONTH(Sales_Dataset[[#This Row],[Order Date]])</f>
        <v>7</v>
      </c>
      <c r="D1057" t="s">
        <v>107</v>
      </c>
      <c r="E1057" t="s">
        <v>22</v>
      </c>
      <c r="F1057" t="s">
        <v>18</v>
      </c>
      <c r="G1057" t="s">
        <v>33</v>
      </c>
      <c r="H1057" s="5">
        <v>3196</v>
      </c>
      <c r="I1057">
        <v>15</v>
      </c>
      <c r="J1057" s="5">
        <v>1411</v>
      </c>
    </row>
    <row r="1058" spans="1:10" x14ac:dyDescent="0.35">
      <c r="A1058" s="1">
        <v>45484</v>
      </c>
      <c r="B1058" s="2">
        <f>YEAR(Sales_Dataset[[#This Row],[Order Date]])</f>
        <v>2024</v>
      </c>
      <c r="C1058" s="2">
        <f>MONTH(Sales_Dataset[[#This Row],[Order Date]])</f>
        <v>7</v>
      </c>
      <c r="D1058" t="s">
        <v>346</v>
      </c>
      <c r="E1058" t="s">
        <v>22</v>
      </c>
      <c r="F1058" t="s">
        <v>24</v>
      </c>
      <c r="G1058" t="s">
        <v>25</v>
      </c>
      <c r="H1058" s="5">
        <v>6200</v>
      </c>
      <c r="I1058">
        <v>18</v>
      </c>
      <c r="J1058" s="5">
        <v>2321</v>
      </c>
    </row>
    <row r="1059" spans="1:10" x14ac:dyDescent="0.35">
      <c r="A1059" s="1">
        <v>45486</v>
      </c>
      <c r="B1059" s="2">
        <f>YEAR(Sales_Dataset[[#This Row],[Order Date]])</f>
        <v>2024</v>
      </c>
      <c r="C1059" s="2">
        <f>MONTH(Sales_Dataset[[#This Row],[Order Date]])</f>
        <v>7</v>
      </c>
      <c r="D1059" t="s">
        <v>168</v>
      </c>
      <c r="E1059" t="s">
        <v>15</v>
      </c>
      <c r="F1059" t="s">
        <v>24</v>
      </c>
      <c r="G1059" t="s">
        <v>51</v>
      </c>
      <c r="H1059" s="5">
        <v>1085</v>
      </c>
      <c r="I1059">
        <v>20</v>
      </c>
      <c r="J1059" s="5">
        <v>301</v>
      </c>
    </row>
    <row r="1060" spans="1:10" x14ac:dyDescent="0.35">
      <c r="A1060" s="1">
        <v>45491</v>
      </c>
      <c r="B1060" s="2">
        <f>YEAR(Sales_Dataset[[#This Row],[Order Date]])</f>
        <v>2024</v>
      </c>
      <c r="C1060" s="2">
        <f>MONTH(Sales_Dataset[[#This Row],[Order Date]])</f>
        <v>7</v>
      </c>
      <c r="D1060" t="s">
        <v>145</v>
      </c>
      <c r="E1060" t="s">
        <v>13</v>
      </c>
      <c r="F1060" t="s">
        <v>10</v>
      </c>
      <c r="G1060" t="s">
        <v>11</v>
      </c>
      <c r="H1060" s="5">
        <v>6471</v>
      </c>
      <c r="I1060">
        <v>18</v>
      </c>
      <c r="J1060" s="5">
        <v>2842</v>
      </c>
    </row>
    <row r="1061" spans="1:10" x14ac:dyDescent="0.35">
      <c r="A1061" s="1">
        <v>45491</v>
      </c>
      <c r="B1061" s="2">
        <f>YEAR(Sales_Dataset[[#This Row],[Order Date]])</f>
        <v>2024</v>
      </c>
      <c r="C1061" s="2">
        <f>MONTH(Sales_Dataset[[#This Row],[Order Date]])</f>
        <v>7</v>
      </c>
      <c r="D1061" t="s">
        <v>528</v>
      </c>
      <c r="E1061" t="s">
        <v>22</v>
      </c>
      <c r="F1061" t="s">
        <v>18</v>
      </c>
      <c r="G1061" t="s">
        <v>19</v>
      </c>
      <c r="H1061" s="5">
        <v>5831</v>
      </c>
      <c r="I1061">
        <v>17</v>
      </c>
      <c r="J1061" s="5">
        <v>1574</v>
      </c>
    </row>
    <row r="1062" spans="1:10" x14ac:dyDescent="0.35">
      <c r="A1062" s="1">
        <v>45500</v>
      </c>
      <c r="B1062" s="2">
        <f>YEAR(Sales_Dataset[[#This Row],[Order Date]])</f>
        <v>2024</v>
      </c>
      <c r="C1062" s="2">
        <f>MONTH(Sales_Dataset[[#This Row],[Order Date]])</f>
        <v>7</v>
      </c>
      <c r="D1062" t="s">
        <v>433</v>
      </c>
      <c r="E1062" t="s">
        <v>15</v>
      </c>
      <c r="F1062" t="s">
        <v>18</v>
      </c>
      <c r="G1062" t="s">
        <v>30</v>
      </c>
      <c r="H1062" s="5">
        <v>7195</v>
      </c>
      <c r="I1062">
        <v>7</v>
      </c>
      <c r="J1062" s="5">
        <v>1665</v>
      </c>
    </row>
    <row r="1063" spans="1:10" x14ac:dyDescent="0.35">
      <c r="A1063" s="1">
        <v>45501</v>
      </c>
      <c r="B1063" s="2">
        <f>YEAR(Sales_Dataset[[#This Row],[Order Date]])</f>
        <v>2024</v>
      </c>
      <c r="C1063" s="2">
        <f>MONTH(Sales_Dataset[[#This Row],[Order Date]])</f>
        <v>7</v>
      </c>
      <c r="D1063" t="s">
        <v>425</v>
      </c>
      <c r="E1063" t="s">
        <v>9</v>
      </c>
      <c r="F1063" t="s">
        <v>10</v>
      </c>
      <c r="G1063" t="s">
        <v>16</v>
      </c>
      <c r="H1063" s="5">
        <v>2239</v>
      </c>
      <c r="I1063">
        <v>18</v>
      </c>
      <c r="J1063" s="5">
        <v>1094</v>
      </c>
    </row>
    <row r="1064" spans="1:10" x14ac:dyDescent="0.35">
      <c r="A1064" s="1">
        <v>45501</v>
      </c>
      <c r="B1064" s="2">
        <f>YEAR(Sales_Dataset[[#This Row],[Order Date]])</f>
        <v>2024</v>
      </c>
      <c r="C1064" s="2">
        <f>MONTH(Sales_Dataset[[#This Row],[Order Date]])</f>
        <v>7</v>
      </c>
      <c r="D1064" t="s">
        <v>425</v>
      </c>
      <c r="E1064" t="s">
        <v>9</v>
      </c>
      <c r="F1064" t="s">
        <v>18</v>
      </c>
      <c r="G1064" t="s">
        <v>30</v>
      </c>
      <c r="H1064" s="5">
        <v>4932</v>
      </c>
      <c r="I1064">
        <v>1</v>
      </c>
      <c r="J1064" s="5">
        <v>1153</v>
      </c>
    </row>
    <row r="1065" spans="1:10" x14ac:dyDescent="0.35">
      <c r="A1065" s="1">
        <v>45503</v>
      </c>
      <c r="B1065" s="2">
        <f>YEAR(Sales_Dataset[[#This Row],[Order Date]])</f>
        <v>2024</v>
      </c>
      <c r="C1065" s="2">
        <f>MONTH(Sales_Dataset[[#This Row],[Order Date]])</f>
        <v>7</v>
      </c>
      <c r="D1065" t="s">
        <v>623</v>
      </c>
      <c r="E1065" t="s">
        <v>36</v>
      </c>
      <c r="F1065" t="s">
        <v>18</v>
      </c>
      <c r="G1065" t="s">
        <v>33</v>
      </c>
      <c r="H1065" s="5">
        <v>2451</v>
      </c>
      <c r="I1065">
        <v>8</v>
      </c>
      <c r="J1065" s="5">
        <v>342</v>
      </c>
    </row>
    <row r="1066" spans="1:10" x14ac:dyDescent="0.35">
      <c r="A1066" s="1">
        <v>45504</v>
      </c>
      <c r="B1066" s="2">
        <f>YEAR(Sales_Dataset[[#This Row],[Order Date]])</f>
        <v>2024</v>
      </c>
      <c r="C1066" s="2">
        <f>MONTH(Sales_Dataset[[#This Row],[Order Date]])</f>
        <v>7</v>
      </c>
      <c r="D1066" t="s">
        <v>826</v>
      </c>
      <c r="E1066" t="s">
        <v>15</v>
      </c>
      <c r="F1066" t="s">
        <v>24</v>
      </c>
      <c r="G1066" t="s">
        <v>25</v>
      </c>
      <c r="H1066" s="5">
        <v>8825</v>
      </c>
      <c r="I1066">
        <v>15</v>
      </c>
      <c r="J1066" s="5">
        <v>3594</v>
      </c>
    </row>
    <row r="1067" spans="1:10" x14ac:dyDescent="0.35">
      <c r="A1067" s="1">
        <v>45505</v>
      </c>
      <c r="B1067" s="2">
        <f>YEAR(Sales_Dataset[[#This Row],[Order Date]])</f>
        <v>2024</v>
      </c>
      <c r="C1067" s="2">
        <f>MONTH(Sales_Dataset[[#This Row],[Order Date]])</f>
        <v>8</v>
      </c>
      <c r="D1067" t="s">
        <v>674</v>
      </c>
      <c r="E1067" t="s">
        <v>13</v>
      </c>
      <c r="F1067" t="s">
        <v>18</v>
      </c>
      <c r="G1067" t="s">
        <v>30</v>
      </c>
      <c r="H1067" s="5">
        <v>5338</v>
      </c>
      <c r="I1067">
        <v>16</v>
      </c>
      <c r="J1067" s="5">
        <v>1354</v>
      </c>
    </row>
    <row r="1068" spans="1:10" x14ac:dyDescent="0.35">
      <c r="A1068" s="1">
        <v>45510</v>
      </c>
      <c r="B1068" s="2">
        <f>YEAR(Sales_Dataset[[#This Row],[Order Date]])</f>
        <v>2024</v>
      </c>
      <c r="C1068" s="2">
        <f>MONTH(Sales_Dataset[[#This Row],[Order Date]])</f>
        <v>8</v>
      </c>
      <c r="D1068" t="s">
        <v>53</v>
      </c>
      <c r="E1068" t="s">
        <v>22</v>
      </c>
      <c r="F1068" t="s">
        <v>18</v>
      </c>
      <c r="G1068" t="s">
        <v>30</v>
      </c>
      <c r="H1068" s="5">
        <v>7784</v>
      </c>
      <c r="I1068">
        <v>12</v>
      </c>
      <c r="J1068" s="5">
        <v>2937</v>
      </c>
    </row>
    <row r="1069" spans="1:10" x14ac:dyDescent="0.35">
      <c r="A1069" s="1">
        <v>45510</v>
      </c>
      <c r="B1069" s="2">
        <f>YEAR(Sales_Dataset[[#This Row],[Order Date]])</f>
        <v>2024</v>
      </c>
      <c r="C1069" s="2">
        <f>MONTH(Sales_Dataset[[#This Row],[Order Date]])</f>
        <v>8</v>
      </c>
      <c r="D1069" t="s">
        <v>53</v>
      </c>
      <c r="E1069" t="s">
        <v>22</v>
      </c>
      <c r="F1069" t="s">
        <v>18</v>
      </c>
      <c r="G1069" t="s">
        <v>19</v>
      </c>
      <c r="H1069" s="5">
        <v>5591</v>
      </c>
      <c r="I1069">
        <v>3</v>
      </c>
      <c r="J1069" s="5">
        <v>1696</v>
      </c>
    </row>
    <row r="1070" spans="1:10" x14ac:dyDescent="0.35">
      <c r="A1070" s="1">
        <v>45510</v>
      </c>
      <c r="B1070" s="2">
        <f>YEAR(Sales_Dataset[[#This Row],[Order Date]])</f>
        <v>2024</v>
      </c>
      <c r="C1070" s="2">
        <f>MONTH(Sales_Dataset[[#This Row],[Order Date]])</f>
        <v>8</v>
      </c>
      <c r="D1070" t="s">
        <v>53</v>
      </c>
      <c r="E1070" t="s">
        <v>22</v>
      </c>
      <c r="F1070" t="s">
        <v>10</v>
      </c>
      <c r="G1070" t="s">
        <v>11</v>
      </c>
      <c r="H1070" s="5">
        <v>5122</v>
      </c>
      <c r="I1070">
        <v>12</v>
      </c>
      <c r="J1070" s="5">
        <v>2413</v>
      </c>
    </row>
    <row r="1071" spans="1:10" x14ac:dyDescent="0.35">
      <c r="A1071" s="1">
        <v>45511</v>
      </c>
      <c r="B1071" s="2">
        <f>YEAR(Sales_Dataset[[#This Row],[Order Date]])</f>
        <v>2024</v>
      </c>
      <c r="C1071" s="2">
        <f>MONTH(Sales_Dataset[[#This Row],[Order Date]])</f>
        <v>8</v>
      </c>
      <c r="D1071" t="s">
        <v>761</v>
      </c>
      <c r="E1071" t="s">
        <v>36</v>
      </c>
      <c r="F1071" t="s">
        <v>10</v>
      </c>
      <c r="G1071" t="s">
        <v>23</v>
      </c>
      <c r="H1071" s="5">
        <v>5951</v>
      </c>
      <c r="I1071">
        <v>6</v>
      </c>
      <c r="J1071" s="5">
        <v>936</v>
      </c>
    </row>
    <row r="1072" spans="1:10" x14ac:dyDescent="0.35">
      <c r="A1072" s="1">
        <v>45513</v>
      </c>
      <c r="B1072" s="2">
        <f>YEAR(Sales_Dataset[[#This Row],[Order Date]])</f>
        <v>2024</v>
      </c>
      <c r="C1072" s="2">
        <f>MONTH(Sales_Dataset[[#This Row],[Order Date]])</f>
        <v>8</v>
      </c>
      <c r="D1072" t="s">
        <v>270</v>
      </c>
      <c r="E1072" t="s">
        <v>13</v>
      </c>
      <c r="F1072" t="s">
        <v>24</v>
      </c>
      <c r="G1072" t="s">
        <v>27</v>
      </c>
      <c r="H1072" s="5">
        <v>7930</v>
      </c>
      <c r="I1072">
        <v>13</v>
      </c>
      <c r="J1072" s="5">
        <v>1981</v>
      </c>
    </row>
    <row r="1073" spans="1:10" x14ac:dyDescent="0.35">
      <c r="A1073" s="1">
        <v>45525</v>
      </c>
      <c r="B1073" s="2">
        <f>YEAR(Sales_Dataset[[#This Row],[Order Date]])</f>
        <v>2024</v>
      </c>
      <c r="C1073" s="2">
        <f>MONTH(Sales_Dataset[[#This Row],[Order Date]])</f>
        <v>8</v>
      </c>
      <c r="D1073" t="s">
        <v>416</v>
      </c>
      <c r="E1073" t="s">
        <v>9</v>
      </c>
      <c r="F1073" t="s">
        <v>10</v>
      </c>
      <c r="G1073" t="s">
        <v>23</v>
      </c>
      <c r="H1073" s="5">
        <v>5730</v>
      </c>
      <c r="I1073">
        <v>6</v>
      </c>
      <c r="J1073" s="5">
        <v>482</v>
      </c>
    </row>
    <row r="1074" spans="1:10" x14ac:dyDescent="0.35">
      <c r="A1074" s="1">
        <v>45525</v>
      </c>
      <c r="B1074" s="2">
        <f>YEAR(Sales_Dataset[[#This Row],[Order Date]])</f>
        <v>2024</v>
      </c>
      <c r="C1074" s="2">
        <f>MONTH(Sales_Dataset[[#This Row],[Order Date]])</f>
        <v>8</v>
      </c>
      <c r="D1074" t="s">
        <v>597</v>
      </c>
      <c r="E1074" t="s">
        <v>36</v>
      </c>
      <c r="F1074" t="s">
        <v>10</v>
      </c>
      <c r="G1074" t="s">
        <v>41</v>
      </c>
      <c r="H1074" s="5">
        <v>4544</v>
      </c>
      <c r="I1074">
        <v>9</v>
      </c>
      <c r="J1074" s="5">
        <v>1726</v>
      </c>
    </row>
    <row r="1075" spans="1:10" x14ac:dyDescent="0.35">
      <c r="A1075" s="1">
        <v>45525</v>
      </c>
      <c r="B1075" s="2">
        <f>YEAR(Sales_Dataset[[#This Row],[Order Date]])</f>
        <v>2024</v>
      </c>
      <c r="C1075" s="2">
        <f>MONTH(Sales_Dataset[[#This Row],[Order Date]])</f>
        <v>8</v>
      </c>
      <c r="D1075" t="s">
        <v>597</v>
      </c>
      <c r="E1075" t="s">
        <v>36</v>
      </c>
      <c r="F1075" t="s">
        <v>10</v>
      </c>
      <c r="G1075" t="s">
        <v>41</v>
      </c>
      <c r="H1075" s="5">
        <v>5900</v>
      </c>
      <c r="I1075">
        <v>20</v>
      </c>
      <c r="J1075" s="5">
        <v>1738</v>
      </c>
    </row>
    <row r="1076" spans="1:10" x14ac:dyDescent="0.35">
      <c r="A1076" s="1">
        <v>45527</v>
      </c>
      <c r="B1076" s="2">
        <f>YEAR(Sales_Dataset[[#This Row],[Order Date]])</f>
        <v>2024</v>
      </c>
      <c r="C1076" s="2">
        <f>MONTH(Sales_Dataset[[#This Row],[Order Date]])</f>
        <v>8</v>
      </c>
      <c r="D1076" t="s">
        <v>242</v>
      </c>
      <c r="E1076" t="s">
        <v>13</v>
      </c>
      <c r="F1076" t="s">
        <v>24</v>
      </c>
      <c r="G1076" t="s">
        <v>31</v>
      </c>
      <c r="H1076" s="5">
        <v>3461</v>
      </c>
      <c r="I1076">
        <v>15</v>
      </c>
      <c r="J1076" s="5">
        <v>1537</v>
      </c>
    </row>
    <row r="1077" spans="1:10" x14ac:dyDescent="0.35">
      <c r="A1077" s="1">
        <v>45527</v>
      </c>
      <c r="B1077" s="2">
        <f>YEAR(Sales_Dataset[[#This Row],[Order Date]])</f>
        <v>2024</v>
      </c>
      <c r="C1077" s="2">
        <f>MONTH(Sales_Dataset[[#This Row],[Order Date]])</f>
        <v>8</v>
      </c>
      <c r="D1077" t="s">
        <v>242</v>
      </c>
      <c r="E1077" t="s">
        <v>13</v>
      </c>
      <c r="F1077" t="s">
        <v>10</v>
      </c>
      <c r="G1077" t="s">
        <v>11</v>
      </c>
      <c r="H1077" s="5">
        <v>5714</v>
      </c>
      <c r="I1077">
        <v>6</v>
      </c>
      <c r="J1077" s="5">
        <v>1438</v>
      </c>
    </row>
    <row r="1078" spans="1:10" x14ac:dyDescent="0.35">
      <c r="A1078" s="1">
        <v>45527</v>
      </c>
      <c r="B1078" s="2">
        <f>YEAR(Sales_Dataset[[#This Row],[Order Date]])</f>
        <v>2024</v>
      </c>
      <c r="C1078" s="2">
        <f>MONTH(Sales_Dataset[[#This Row],[Order Date]])</f>
        <v>8</v>
      </c>
      <c r="D1078" t="s">
        <v>242</v>
      </c>
      <c r="E1078" t="s">
        <v>13</v>
      </c>
      <c r="F1078" t="s">
        <v>18</v>
      </c>
      <c r="G1078" t="s">
        <v>39</v>
      </c>
      <c r="H1078" s="5">
        <v>3853</v>
      </c>
      <c r="I1078">
        <v>10</v>
      </c>
      <c r="J1078" s="5">
        <v>1457</v>
      </c>
    </row>
    <row r="1079" spans="1:10" x14ac:dyDescent="0.35">
      <c r="A1079" s="1">
        <v>45533</v>
      </c>
      <c r="B1079" s="2">
        <f>YEAR(Sales_Dataset[[#This Row],[Order Date]])</f>
        <v>2024</v>
      </c>
      <c r="C1079" s="2">
        <f>MONTH(Sales_Dataset[[#This Row],[Order Date]])</f>
        <v>8</v>
      </c>
      <c r="D1079" t="s">
        <v>248</v>
      </c>
      <c r="E1079" t="s">
        <v>47</v>
      </c>
      <c r="F1079" t="s">
        <v>18</v>
      </c>
      <c r="G1079" t="s">
        <v>19</v>
      </c>
      <c r="H1079" s="5">
        <v>3522</v>
      </c>
      <c r="I1079">
        <v>15</v>
      </c>
      <c r="J1079" s="5">
        <v>898</v>
      </c>
    </row>
    <row r="1080" spans="1:10" x14ac:dyDescent="0.35">
      <c r="A1080" s="1">
        <v>45535</v>
      </c>
      <c r="B1080" s="2">
        <f>YEAR(Sales_Dataset[[#This Row],[Order Date]])</f>
        <v>2024</v>
      </c>
      <c r="C1080" s="2">
        <f>MONTH(Sales_Dataset[[#This Row],[Order Date]])</f>
        <v>8</v>
      </c>
      <c r="D1080" t="s">
        <v>498</v>
      </c>
      <c r="E1080" t="s">
        <v>47</v>
      </c>
      <c r="F1080" t="s">
        <v>18</v>
      </c>
      <c r="G1080" t="s">
        <v>39</v>
      </c>
      <c r="H1080" s="5">
        <v>2944</v>
      </c>
      <c r="I1080">
        <v>5</v>
      </c>
      <c r="J1080" s="5">
        <v>249</v>
      </c>
    </row>
    <row r="1081" spans="1:10" x14ac:dyDescent="0.35">
      <c r="A1081" s="1">
        <v>45536</v>
      </c>
      <c r="B1081" s="2">
        <f>YEAR(Sales_Dataset[[#This Row],[Order Date]])</f>
        <v>2024</v>
      </c>
      <c r="C1081" s="2">
        <f>MONTH(Sales_Dataset[[#This Row],[Order Date]])</f>
        <v>9</v>
      </c>
      <c r="D1081" t="s">
        <v>614</v>
      </c>
      <c r="E1081" t="s">
        <v>15</v>
      </c>
      <c r="F1081" t="s">
        <v>10</v>
      </c>
      <c r="G1081" t="s">
        <v>16</v>
      </c>
      <c r="H1081" s="5">
        <v>1093</v>
      </c>
      <c r="I1081">
        <v>17</v>
      </c>
      <c r="J1081" s="5">
        <v>397</v>
      </c>
    </row>
    <row r="1082" spans="1:10" x14ac:dyDescent="0.35">
      <c r="A1082" s="1">
        <v>45536</v>
      </c>
      <c r="B1082" s="2">
        <f>YEAR(Sales_Dataset[[#This Row],[Order Date]])</f>
        <v>2024</v>
      </c>
      <c r="C1082" s="2">
        <f>MONTH(Sales_Dataset[[#This Row],[Order Date]])</f>
        <v>9</v>
      </c>
      <c r="D1082" t="s">
        <v>614</v>
      </c>
      <c r="E1082" t="s">
        <v>15</v>
      </c>
      <c r="F1082" t="s">
        <v>18</v>
      </c>
      <c r="G1082" t="s">
        <v>33</v>
      </c>
      <c r="H1082" s="5">
        <v>2636</v>
      </c>
      <c r="I1082">
        <v>11</v>
      </c>
      <c r="J1082" s="5">
        <v>88</v>
      </c>
    </row>
    <row r="1083" spans="1:10" x14ac:dyDescent="0.35">
      <c r="A1083" s="1">
        <v>45539</v>
      </c>
      <c r="B1083" s="2">
        <f>YEAR(Sales_Dataset[[#This Row],[Order Date]])</f>
        <v>2024</v>
      </c>
      <c r="C1083" s="2">
        <f>MONTH(Sales_Dataset[[#This Row],[Order Date]])</f>
        <v>9</v>
      </c>
      <c r="D1083" t="s">
        <v>99</v>
      </c>
      <c r="E1083" t="s">
        <v>22</v>
      </c>
      <c r="F1083" t="s">
        <v>10</v>
      </c>
      <c r="G1083" t="s">
        <v>16</v>
      </c>
      <c r="H1083" s="5">
        <v>9538</v>
      </c>
      <c r="I1083">
        <v>20</v>
      </c>
      <c r="J1083" s="5">
        <v>3158</v>
      </c>
    </row>
    <row r="1084" spans="1:10" x14ac:dyDescent="0.35">
      <c r="A1084" s="1">
        <v>45539</v>
      </c>
      <c r="B1084" s="2">
        <f>YEAR(Sales_Dataset[[#This Row],[Order Date]])</f>
        <v>2024</v>
      </c>
      <c r="C1084" s="2">
        <f>MONTH(Sales_Dataset[[#This Row],[Order Date]])</f>
        <v>9</v>
      </c>
      <c r="D1084" t="s">
        <v>99</v>
      </c>
      <c r="E1084" t="s">
        <v>22</v>
      </c>
      <c r="F1084" t="s">
        <v>24</v>
      </c>
      <c r="G1084" t="s">
        <v>27</v>
      </c>
      <c r="H1084" s="5">
        <v>9035</v>
      </c>
      <c r="I1084">
        <v>14</v>
      </c>
      <c r="J1084" s="5">
        <v>1227</v>
      </c>
    </row>
    <row r="1085" spans="1:10" x14ac:dyDescent="0.35">
      <c r="A1085" s="1">
        <v>45541</v>
      </c>
      <c r="B1085" s="2">
        <f>YEAR(Sales_Dataset[[#This Row],[Order Date]])</f>
        <v>2024</v>
      </c>
      <c r="C1085" s="2">
        <f>MONTH(Sales_Dataset[[#This Row],[Order Date]])</f>
        <v>9</v>
      </c>
      <c r="D1085" t="s">
        <v>176</v>
      </c>
      <c r="E1085" t="s">
        <v>13</v>
      </c>
      <c r="F1085" t="s">
        <v>18</v>
      </c>
      <c r="G1085" t="s">
        <v>30</v>
      </c>
      <c r="H1085" s="5">
        <v>5934</v>
      </c>
      <c r="I1085">
        <v>2</v>
      </c>
      <c r="J1085" s="5">
        <v>1563</v>
      </c>
    </row>
    <row r="1086" spans="1:10" x14ac:dyDescent="0.35">
      <c r="A1086" s="1">
        <v>45543</v>
      </c>
      <c r="B1086" s="2">
        <f>YEAR(Sales_Dataset[[#This Row],[Order Date]])</f>
        <v>2024</v>
      </c>
      <c r="C1086" s="2">
        <f>MONTH(Sales_Dataset[[#This Row],[Order Date]])</f>
        <v>9</v>
      </c>
      <c r="D1086" t="s">
        <v>460</v>
      </c>
      <c r="E1086" t="s">
        <v>15</v>
      </c>
      <c r="F1086" t="s">
        <v>10</v>
      </c>
      <c r="G1086" t="s">
        <v>23</v>
      </c>
      <c r="H1086" s="5">
        <v>1579</v>
      </c>
      <c r="I1086">
        <v>9</v>
      </c>
      <c r="J1086" s="5">
        <v>602</v>
      </c>
    </row>
    <row r="1087" spans="1:10" x14ac:dyDescent="0.35">
      <c r="A1087" s="1">
        <v>45543</v>
      </c>
      <c r="B1087" s="2">
        <f>YEAR(Sales_Dataset[[#This Row],[Order Date]])</f>
        <v>2024</v>
      </c>
      <c r="C1087" s="2">
        <f>MONTH(Sales_Dataset[[#This Row],[Order Date]])</f>
        <v>9</v>
      </c>
      <c r="D1087" t="s">
        <v>460</v>
      </c>
      <c r="E1087" t="s">
        <v>15</v>
      </c>
      <c r="F1087" t="s">
        <v>24</v>
      </c>
      <c r="G1087" t="s">
        <v>27</v>
      </c>
      <c r="H1087" s="5">
        <v>3760</v>
      </c>
      <c r="I1087">
        <v>19</v>
      </c>
      <c r="J1087" s="5">
        <v>1849</v>
      </c>
    </row>
    <row r="1088" spans="1:10" x14ac:dyDescent="0.35">
      <c r="A1088" s="1">
        <v>45548</v>
      </c>
      <c r="B1088" s="2">
        <f>YEAR(Sales_Dataset[[#This Row],[Order Date]])</f>
        <v>2024</v>
      </c>
      <c r="C1088" s="2">
        <f>MONTH(Sales_Dataset[[#This Row],[Order Date]])</f>
        <v>9</v>
      </c>
      <c r="D1088" t="s">
        <v>628</v>
      </c>
      <c r="E1088" t="s">
        <v>15</v>
      </c>
      <c r="F1088" t="s">
        <v>24</v>
      </c>
      <c r="G1088" t="s">
        <v>51</v>
      </c>
      <c r="H1088" s="5">
        <v>2995</v>
      </c>
      <c r="I1088">
        <v>14</v>
      </c>
      <c r="J1088" s="5">
        <v>220</v>
      </c>
    </row>
    <row r="1089" spans="1:10" x14ac:dyDescent="0.35">
      <c r="A1089" s="1">
        <v>45548</v>
      </c>
      <c r="B1089" s="2">
        <f>YEAR(Sales_Dataset[[#This Row],[Order Date]])</f>
        <v>2024</v>
      </c>
      <c r="C1089" s="2">
        <f>MONTH(Sales_Dataset[[#This Row],[Order Date]])</f>
        <v>9</v>
      </c>
      <c r="D1089" t="s">
        <v>628</v>
      </c>
      <c r="E1089" t="s">
        <v>15</v>
      </c>
      <c r="F1089" t="s">
        <v>18</v>
      </c>
      <c r="G1089" t="s">
        <v>30</v>
      </c>
      <c r="H1089" s="5">
        <v>2047</v>
      </c>
      <c r="I1089">
        <v>5</v>
      </c>
      <c r="J1089" s="5">
        <v>914</v>
      </c>
    </row>
    <row r="1090" spans="1:10" x14ac:dyDescent="0.35">
      <c r="A1090" s="1">
        <v>45548</v>
      </c>
      <c r="B1090" s="2">
        <f>YEAR(Sales_Dataset[[#This Row],[Order Date]])</f>
        <v>2024</v>
      </c>
      <c r="C1090" s="2">
        <f>MONTH(Sales_Dataset[[#This Row],[Order Date]])</f>
        <v>9</v>
      </c>
      <c r="D1090" t="s">
        <v>799</v>
      </c>
      <c r="E1090" t="s">
        <v>47</v>
      </c>
      <c r="F1090" t="s">
        <v>10</v>
      </c>
      <c r="G1090" t="s">
        <v>23</v>
      </c>
      <c r="H1090" s="5">
        <v>7992</v>
      </c>
      <c r="I1090">
        <v>12</v>
      </c>
      <c r="J1090" s="5">
        <v>893</v>
      </c>
    </row>
    <row r="1091" spans="1:10" x14ac:dyDescent="0.35">
      <c r="A1091" s="1">
        <v>45552</v>
      </c>
      <c r="B1091" s="2">
        <f>YEAR(Sales_Dataset[[#This Row],[Order Date]])</f>
        <v>2024</v>
      </c>
      <c r="C1091" s="2">
        <f>MONTH(Sales_Dataset[[#This Row],[Order Date]])</f>
        <v>9</v>
      </c>
      <c r="D1091" t="s">
        <v>91</v>
      </c>
      <c r="E1091" t="s">
        <v>22</v>
      </c>
      <c r="F1091" t="s">
        <v>10</v>
      </c>
      <c r="G1091" t="s">
        <v>41</v>
      </c>
      <c r="H1091" s="5">
        <v>4358</v>
      </c>
      <c r="I1091">
        <v>19</v>
      </c>
      <c r="J1091" s="5">
        <v>526</v>
      </c>
    </row>
    <row r="1092" spans="1:10" x14ac:dyDescent="0.35">
      <c r="A1092" s="1">
        <v>45552</v>
      </c>
      <c r="B1092" s="2">
        <f>YEAR(Sales_Dataset[[#This Row],[Order Date]])</f>
        <v>2024</v>
      </c>
      <c r="C1092" s="2">
        <f>MONTH(Sales_Dataset[[#This Row],[Order Date]])</f>
        <v>9</v>
      </c>
      <c r="D1092" t="s">
        <v>91</v>
      </c>
      <c r="E1092" t="s">
        <v>22</v>
      </c>
      <c r="F1092" t="s">
        <v>10</v>
      </c>
      <c r="G1092" t="s">
        <v>41</v>
      </c>
      <c r="H1092" s="5">
        <v>6459</v>
      </c>
      <c r="I1092">
        <v>8</v>
      </c>
      <c r="J1092" s="5">
        <v>825</v>
      </c>
    </row>
    <row r="1093" spans="1:10" x14ac:dyDescent="0.35">
      <c r="A1093" s="1">
        <v>45554</v>
      </c>
      <c r="B1093" s="2">
        <f>YEAR(Sales_Dataset[[#This Row],[Order Date]])</f>
        <v>2024</v>
      </c>
      <c r="C1093" s="2">
        <f>MONTH(Sales_Dataset[[#This Row],[Order Date]])</f>
        <v>9</v>
      </c>
      <c r="D1093" t="s">
        <v>777</v>
      </c>
      <c r="E1093" t="s">
        <v>36</v>
      </c>
      <c r="F1093" t="s">
        <v>24</v>
      </c>
      <c r="G1093" t="s">
        <v>31</v>
      </c>
      <c r="H1093" s="5">
        <v>9609</v>
      </c>
      <c r="I1093">
        <v>3</v>
      </c>
      <c r="J1093" s="5">
        <v>4339</v>
      </c>
    </row>
    <row r="1094" spans="1:10" x14ac:dyDescent="0.35">
      <c r="A1094" s="1">
        <v>45556</v>
      </c>
      <c r="B1094" s="2">
        <f>YEAR(Sales_Dataset[[#This Row],[Order Date]])</f>
        <v>2024</v>
      </c>
      <c r="C1094" s="2">
        <f>MONTH(Sales_Dataset[[#This Row],[Order Date]])</f>
        <v>9</v>
      </c>
      <c r="D1094" t="s">
        <v>347</v>
      </c>
      <c r="E1094" t="s">
        <v>9</v>
      </c>
      <c r="F1094" t="s">
        <v>24</v>
      </c>
      <c r="G1094" t="s">
        <v>25</v>
      </c>
      <c r="H1094" s="5">
        <v>6200</v>
      </c>
      <c r="I1094">
        <v>18</v>
      </c>
      <c r="J1094" s="5">
        <v>2321</v>
      </c>
    </row>
    <row r="1095" spans="1:10" x14ac:dyDescent="0.35">
      <c r="A1095" s="1">
        <v>45559</v>
      </c>
      <c r="B1095" s="2">
        <f>YEAR(Sales_Dataset[[#This Row],[Order Date]])</f>
        <v>2024</v>
      </c>
      <c r="C1095" s="2">
        <f>MONTH(Sales_Dataset[[#This Row],[Order Date]])</f>
        <v>9</v>
      </c>
      <c r="D1095" t="s">
        <v>72</v>
      </c>
      <c r="E1095" t="s">
        <v>47</v>
      </c>
      <c r="F1095" t="s">
        <v>10</v>
      </c>
      <c r="G1095" t="s">
        <v>41</v>
      </c>
      <c r="H1095" s="5">
        <v>2750</v>
      </c>
      <c r="I1095">
        <v>11</v>
      </c>
      <c r="J1095" s="5">
        <v>1239</v>
      </c>
    </row>
    <row r="1096" spans="1:10" x14ac:dyDescent="0.35">
      <c r="A1096" s="1">
        <v>45559</v>
      </c>
      <c r="B1096" s="2">
        <f>YEAR(Sales_Dataset[[#This Row],[Order Date]])</f>
        <v>2024</v>
      </c>
      <c r="C1096" s="2">
        <f>MONTH(Sales_Dataset[[#This Row],[Order Date]])</f>
        <v>9</v>
      </c>
      <c r="D1096" t="s">
        <v>72</v>
      </c>
      <c r="E1096" t="s">
        <v>47</v>
      </c>
      <c r="F1096" t="s">
        <v>18</v>
      </c>
      <c r="G1096" t="s">
        <v>19</v>
      </c>
      <c r="H1096" s="5">
        <v>8639</v>
      </c>
      <c r="I1096">
        <v>19</v>
      </c>
      <c r="J1096" s="5">
        <v>3104</v>
      </c>
    </row>
    <row r="1097" spans="1:10" x14ac:dyDescent="0.35">
      <c r="A1097" s="1">
        <v>45566</v>
      </c>
      <c r="B1097" s="2">
        <f>YEAR(Sales_Dataset[[#This Row],[Order Date]])</f>
        <v>2024</v>
      </c>
      <c r="C1097" s="2">
        <f>MONTH(Sales_Dataset[[#This Row],[Order Date]])</f>
        <v>10</v>
      </c>
      <c r="D1097" t="s">
        <v>311</v>
      </c>
      <c r="E1097" t="s">
        <v>9</v>
      </c>
      <c r="F1097" t="s">
        <v>18</v>
      </c>
      <c r="G1097" t="s">
        <v>33</v>
      </c>
      <c r="H1097" s="5">
        <v>7564</v>
      </c>
      <c r="I1097">
        <v>5</v>
      </c>
      <c r="J1097" s="5">
        <v>3463</v>
      </c>
    </row>
    <row r="1098" spans="1:10" x14ac:dyDescent="0.35">
      <c r="A1098" s="1">
        <v>45566</v>
      </c>
      <c r="B1098" s="2">
        <f>YEAR(Sales_Dataset[[#This Row],[Order Date]])</f>
        <v>2024</v>
      </c>
      <c r="C1098" s="2">
        <f>MONTH(Sales_Dataset[[#This Row],[Order Date]])</f>
        <v>10</v>
      </c>
      <c r="D1098" t="s">
        <v>311</v>
      </c>
      <c r="E1098" t="s">
        <v>9</v>
      </c>
      <c r="F1098" t="s">
        <v>10</v>
      </c>
      <c r="G1098" t="s">
        <v>11</v>
      </c>
      <c r="H1098" s="5">
        <v>3409</v>
      </c>
      <c r="I1098">
        <v>20</v>
      </c>
      <c r="J1098" s="5">
        <v>1605</v>
      </c>
    </row>
    <row r="1099" spans="1:10" x14ac:dyDescent="0.35">
      <c r="A1099" s="1">
        <v>45570</v>
      </c>
      <c r="B1099" s="2">
        <f>YEAR(Sales_Dataset[[#This Row],[Order Date]])</f>
        <v>2024</v>
      </c>
      <c r="C1099" s="2">
        <f>MONTH(Sales_Dataset[[#This Row],[Order Date]])</f>
        <v>10</v>
      </c>
      <c r="D1099" t="s">
        <v>427</v>
      </c>
      <c r="E1099" t="s">
        <v>15</v>
      </c>
      <c r="F1099" t="s">
        <v>24</v>
      </c>
      <c r="G1099" t="s">
        <v>31</v>
      </c>
      <c r="H1099" s="5">
        <v>1388</v>
      </c>
      <c r="I1099">
        <v>5</v>
      </c>
      <c r="J1099" s="5">
        <v>345</v>
      </c>
    </row>
    <row r="1100" spans="1:10" x14ac:dyDescent="0.35">
      <c r="A1100" s="1">
        <v>45570</v>
      </c>
      <c r="B1100" s="2">
        <f>YEAR(Sales_Dataset[[#This Row],[Order Date]])</f>
        <v>2024</v>
      </c>
      <c r="C1100" s="2">
        <f>MONTH(Sales_Dataset[[#This Row],[Order Date]])</f>
        <v>10</v>
      </c>
      <c r="D1100" t="s">
        <v>427</v>
      </c>
      <c r="E1100" t="s">
        <v>15</v>
      </c>
      <c r="F1100" t="s">
        <v>10</v>
      </c>
      <c r="G1100" t="s">
        <v>23</v>
      </c>
      <c r="H1100" s="5">
        <v>8555</v>
      </c>
      <c r="I1100">
        <v>8</v>
      </c>
      <c r="J1100" s="5">
        <v>1638</v>
      </c>
    </row>
    <row r="1101" spans="1:10" x14ac:dyDescent="0.35">
      <c r="A1101" s="1">
        <v>45570</v>
      </c>
      <c r="B1101" s="2">
        <f>YEAR(Sales_Dataset[[#This Row],[Order Date]])</f>
        <v>2024</v>
      </c>
      <c r="C1101" s="2">
        <f>MONTH(Sales_Dataset[[#This Row],[Order Date]])</f>
        <v>10</v>
      </c>
      <c r="D1101" t="s">
        <v>507</v>
      </c>
      <c r="E1101" t="s">
        <v>47</v>
      </c>
      <c r="F1101" t="s">
        <v>18</v>
      </c>
      <c r="G1101" t="s">
        <v>19</v>
      </c>
      <c r="H1101" s="5">
        <v>2589</v>
      </c>
      <c r="I1101">
        <v>11</v>
      </c>
      <c r="J1101" s="5">
        <v>605</v>
      </c>
    </row>
    <row r="1102" spans="1:10" x14ac:dyDescent="0.35">
      <c r="A1102" s="1">
        <v>45572</v>
      </c>
      <c r="B1102" s="2">
        <f>YEAR(Sales_Dataset[[#This Row],[Order Date]])</f>
        <v>2024</v>
      </c>
      <c r="C1102" s="2">
        <f>MONTH(Sales_Dataset[[#This Row],[Order Date]])</f>
        <v>10</v>
      </c>
      <c r="D1102" t="s">
        <v>521</v>
      </c>
      <c r="E1102" t="s">
        <v>22</v>
      </c>
      <c r="F1102" t="s">
        <v>18</v>
      </c>
      <c r="G1102" t="s">
        <v>33</v>
      </c>
      <c r="H1102" s="5">
        <v>4116</v>
      </c>
      <c r="I1102">
        <v>20</v>
      </c>
      <c r="J1102" s="5">
        <v>921</v>
      </c>
    </row>
    <row r="1103" spans="1:10" x14ac:dyDescent="0.35">
      <c r="A1103" s="1">
        <v>45573</v>
      </c>
      <c r="B1103" s="2">
        <f>YEAR(Sales_Dataset[[#This Row],[Order Date]])</f>
        <v>2024</v>
      </c>
      <c r="C1103" s="2">
        <f>MONTH(Sales_Dataset[[#This Row],[Order Date]])</f>
        <v>10</v>
      </c>
      <c r="D1103" t="s">
        <v>592</v>
      </c>
      <c r="E1103" t="s">
        <v>47</v>
      </c>
      <c r="F1103" t="s">
        <v>10</v>
      </c>
      <c r="G1103" t="s">
        <v>41</v>
      </c>
      <c r="H1103" s="5">
        <v>8400</v>
      </c>
      <c r="I1103">
        <v>5</v>
      </c>
      <c r="J1103" s="5">
        <v>267</v>
      </c>
    </row>
    <row r="1104" spans="1:10" x14ac:dyDescent="0.35">
      <c r="A1104" s="1">
        <v>45573</v>
      </c>
      <c r="B1104" s="2">
        <f>YEAR(Sales_Dataset[[#This Row],[Order Date]])</f>
        <v>2024</v>
      </c>
      <c r="C1104" s="2">
        <f>MONTH(Sales_Dataset[[#This Row],[Order Date]])</f>
        <v>10</v>
      </c>
      <c r="D1104" t="s">
        <v>592</v>
      </c>
      <c r="E1104" t="s">
        <v>47</v>
      </c>
      <c r="F1104" t="s">
        <v>18</v>
      </c>
      <c r="G1104" t="s">
        <v>33</v>
      </c>
      <c r="H1104" s="5">
        <v>4963</v>
      </c>
      <c r="I1104">
        <v>15</v>
      </c>
      <c r="J1104" s="5">
        <v>1254</v>
      </c>
    </row>
    <row r="1105" spans="1:10" x14ac:dyDescent="0.35">
      <c r="A1105" s="1">
        <v>45577</v>
      </c>
      <c r="B1105" s="2">
        <f>YEAR(Sales_Dataset[[#This Row],[Order Date]])</f>
        <v>2024</v>
      </c>
      <c r="C1105" s="2">
        <f>MONTH(Sales_Dataset[[#This Row],[Order Date]])</f>
        <v>10</v>
      </c>
      <c r="D1105" t="s">
        <v>768</v>
      </c>
      <c r="E1105" t="s">
        <v>22</v>
      </c>
      <c r="F1105" t="s">
        <v>18</v>
      </c>
      <c r="G1105" t="s">
        <v>33</v>
      </c>
      <c r="H1105" s="5">
        <v>7620</v>
      </c>
      <c r="I1105">
        <v>4</v>
      </c>
      <c r="J1105" s="5">
        <v>125</v>
      </c>
    </row>
    <row r="1106" spans="1:10" x14ac:dyDescent="0.35">
      <c r="A1106" s="1">
        <v>45580</v>
      </c>
      <c r="B1106" s="2">
        <f>YEAR(Sales_Dataset[[#This Row],[Order Date]])</f>
        <v>2024</v>
      </c>
      <c r="C1106" s="2">
        <f>MONTH(Sales_Dataset[[#This Row],[Order Date]])</f>
        <v>10</v>
      </c>
      <c r="D1106" t="s">
        <v>784</v>
      </c>
      <c r="E1106" t="s">
        <v>9</v>
      </c>
      <c r="F1106" t="s">
        <v>18</v>
      </c>
      <c r="G1106" t="s">
        <v>33</v>
      </c>
      <c r="H1106" s="5">
        <v>4521</v>
      </c>
      <c r="I1106">
        <v>9</v>
      </c>
      <c r="J1106" s="5">
        <v>1778</v>
      </c>
    </row>
    <row r="1107" spans="1:10" x14ac:dyDescent="0.35">
      <c r="A1107" s="1">
        <v>45582</v>
      </c>
      <c r="B1107" s="2">
        <f>YEAR(Sales_Dataset[[#This Row],[Order Date]])</f>
        <v>2024</v>
      </c>
      <c r="C1107" s="2">
        <f>MONTH(Sales_Dataset[[#This Row],[Order Date]])</f>
        <v>10</v>
      </c>
      <c r="D1107" t="s">
        <v>179</v>
      </c>
      <c r="E1107" t="s">
        <v>36</v>
      </c>
      <c r="F1107" t="s">
        <v>18</v>
      </c>
      <c r="G1107" t="s">
        <v>30</v>
      </c>
      <c r="H1107" s="5">
        <v>3479</v>
      </c>
      <c r="I1107">
        <v>2</v>
      </c>
      <c r="J1107" s="5">
        <v>1087</v>
      </c>
    </row>
    <row r="1108" spans="1:10" x14ac:dyDescent="0.35">
      <c r="A1108" s="1">
        <v>45582</v>
      </c>
      <c r="B1108" s="2">
        <f>YEAR(Sales_Dataset[[#This Row],[Order Date]])</f>
        <v>2024</v>
      </c>
      <c r="C1108" s="2">
        <f>MONTH(Sales_Dataset[[#This Row],[Order Date]])</f>
        <v>10</v>
      </c>
      <c r="D1108" t="s">
        <v>179</v>
      </c>
      <c r="E1108" t="s">
        <v>36</v>
      </c>
      <c r="F1108" t="s">
        <v>10</v>
      </c>
      <c r="G1108" t="s">
        <v>16</v>
      </c>
      <c r="H1108" s="5">
        <v>5457</v>
      </c>
      <c r="I1108">
        <v>7</v>
      </c>
      <c r="J1108" s="5">
        <v>1765</v>
      </c>
    </row>
    <row r="1109" spans="1:10" x14ac:dyDescent="0.35">
      <c r="A1109" s="1">
        <v>45586</v>
      </c>
      <c r="B1109" s="2">
        <f>YEAR(Sales_Dataset[[#This Row],[Order Date]])</f>
        <v>2024</v>
      </c>
      <c r="C1109" s="2">
        <f>MONTH(Sales_Dataset[[#This Row],[Order Date]])</f>
        <v>10</v>
      </c>
      <c r="D1109" t="s">
        <v>486</v>
      </c>
      <c r="E1109" t="s">
        <v>13</v>
      </c>
      <c r="F1109" t="s">
        <v>10</v>
      </c>
      <c r="G1109" t="s">
        <v>23</v>
      </c>
      <c r="H1109" s="5">
        <v>2710</v>
      </c>
      <c r="I1109">
        <v>20</v>
      </c>
      <c r="J1109" s="5">
        <v>555</v>
      </c>
    </row>
    <row r="1110" spans="1:10" x14ac:dyDescent="0.35">
      <c r="A1110" s="1">
        <v>45586</v>
      </c>
      <c r="B1110" s="2">
        <f>YEAR(Sales_Dataset[[#This Row],[Order Date]])</f>
        <v>2024</v>
      </c>
      <c r="C1110" s="2">
        <f>MONTH(Sales_Dataset[[#This Row],[Order Date]])</f>
        <v>10</v>
      </c>
      <c r="D1110" t="s">
        <v>486</v>
      </c>
      <c r="E1110" t="s">
        <v>13</v>
      </c>
      <c r="F1110" t="s">
        <v>18</v>
      </c>
      <c r="G1110" t="s">
        <v>39</v>
      </c>
      <c r="H1110" s="5">
        <v>3224</v>
      </c>
      <c r="I1110">
        <v>14</v>
      </c>
      <c r="J1110" s="5">
        <v>1018</v>
      </c>
    </row>
    <row r="1111" spans="1:10" x14ac:dyDescent="0.35">
      <c r="A1111" s="1">
        <v>45586</v>
      </c>
      <c r="B1111" s="2">
        <f>YEAR(Sales_Dataset[[#This Row],[Order Date]])</f>
        <v>2024</v>
      </c>
      <c r="C1111" s="2">
        <f>MONTH(Sales_Dataset[[#This Row],[Order Date]])</f>
        <v>10</v>
      </c>
      <c r="D1111" t="s">
        <v>676</v>
      </c>
      <c r="E1111" t="s">
        <v>9</v>
      </c>
      <c r="F1111" t="s">
        <v>18</v>
      </c>
      <c r="G1111" t="s">
        <v>30</v>
      </c>
      <c r="H1111" s="5">
        <v>5338</v>
      </c>
      <c r="I1111">
        <v>16</v>
      </c>
      <c r="J1111" s="5">
        <v>1354</v>
      </c>
    </row>
    <row r="1112" spans="1:10" x14ac:dyDescent="0.35">
      <c r="A1112" s="1">
        <v>45591</v>
      </c>
      <c r="B1112" s="2">
        <f>YEAR(Sales_Dataset[[#This Row],[Order Date]])</f>
        <v>2024</v>
      </c>
      <c r="C1112" s="2">
        <f>MONTH(Sales_Dataset[[#This Row],[Order Date]])</f>
        <v>10</v>
      </c>
      <c r="D1112" t="s">
        <v>830</v>
      </c>
      <c r="E1112" t="s">
        <v>13</v>
      </c>
      <c r="F1112" t="s">
        <v>18</v>
      </c>
      <c r="G1112" t="s">
        <v>30</v>
      </c>
      <c r="H1112" s="5">
        <v>914</v>
      </c>
      <c r="I1112">
        <v>13</v>
      </c>
      <c r="J1112" s="5">
        <v>163</v>
      </c>
    </row>
    <row r="1113" spans="1:10" x14ac:dyDescent="0.35">
      <c r="A1113" s="1">
        <v>45596</v>
      </c>
      <c r="B1113" s="2">
        <f>YEAR(Sales_Dataset[[#This Row],[Order Date]])</f>
        <v>2024</v>
      </c>
      <c r="C1113" s="2">
        <f>MONTH(Sales_Dataset[[#This Row],[Order Date]])</f>
        <v>10</v>
      </c>
      <c r="D1113" t="s">
        <v>573</v>
      </c>
      <c r="E1113" t="s">
        <v>22</v>
      </c>
      <c r="F1113" t="s">
        <v>24</v>
      </c>
      <c r="G1113" t="s">
        <v>27</v>
      </c>
      <c r="H1113" s="5">
        <v>8858</v>
      </c>
      <c r="I1113">
        <v>6</v>
      </c>
      <c r="J1113" s="5">
        <v>3394</v>
      </c>
    </row>
    <row r="1114" spans="1:10" x14ac:dyDescent="0.35">
      <c r="A1114" s="1">
        <v>45606</v>
      </c>
      <c r="B1114" s="2">
        <f>YEAR(Sales_Dataset[[#This Row],[Order Date]])</f>
        <v>2024</v>
      </c>
      <c r="C1114" s="2">
        <f>MONTH(Sales_Dataset[[#This Row],[Order Date]])</f>
        <v>11</v>
      </c>
      <c r="D1114" t="s">
        <v>122</v>
      </c>
      <c r="E1114" t="s">
        <v>36</v>
      </c>
      <c r="F1114" t="s">
        <v>18</v>
      </c>
      <c r="G1114" t="s">
        <v>39</v>
      </c>
      <c r="H1114" s="5">
        <v>8563</v>
      </c>
      <c r="I1114">
        <v>8</v>
      </c>
      <c r="J1114" s="5">
        <v>2624</v>
      </c>
    </row>
    <row r="1115" spans="1:10" x14ac:dyDescent="0.35">
      <c r="A1115" s="1">
        <v>45606</v>
      </c>
      <c r="B1115" s="2">
        <f>YEAR(Sales_Dataset[[#This Row],[Order Date]])</f>
        <v>2024</v>
      </c>
      <c r="C1115" s="2">
        <f>MONTH(Sales_Dataset[[#This Row],[Order Date]])</f>
        <v>11</v>
      </c>
      <c r="D1115" t="s">
        <v>122</v>
      </c>
      <c r="E1115" t="s">
        <v>36</v>
      </c>
      <c r="F1115" t="s">
        <v>10</v>
      </c>
      <c r="G1115" t="s">
        <v>16</v>
      </c>
      <c r="H1115" s="5">
        <v>4441</v>
      </c>
      <c r="I1115">
        <v>20</v>
      </c>
      <c r="J1115" s="5">
        <v>281</v>
      </c>
    </row>
    <row r="1116" spans="1:10" x14ac:dyDescent="0.35">
      <c r="A1116" s="1">
        <v>45610</v>
      </c>
      <c r="B1116" s="2">
        <f>YEAR(Sales_Dataset[[#This Row],[Order Date]])</f>
        <v>2024</v>
      </c>
      <c r="C1116" s="2">
        <f>MONTH(Sales_Dataset[[#This Row],[Order Date]])</f>
        <v>11</v>
      </c>
      <c r="D1116" t="s">
        <v>795</v>
      </c>
      <c r="E1116" t="s">
        <v>13</v>
      </c>
      <c r="F1116" t="s">
        <v>18</v>
      </c>
      <c r="G1116" t="s">
        <v>30</v>
      </c>
      <c r="H1116" s="5">
        <v>9272</v>
      </c>
      <c r="I1116">
        <v>19</v>
      </c>
      <c r="J1116" s="5">
        <v>1771</v>
      </c>
    </row>
    <row r="1117" spans="1:10" x14ac:dyDescent="0.35">
      <c r="A1117" s="1">
        <v>45613</v>
      </c>
      <c r="B1117" s="2">
        <f>YEAR(Sales_Dataset[[#This Row],[Order Date]])</f>
        <v>2024</v>
      </c>
      <c r="C1117" s="2">
        <f>MONTH(Sales_Dataset[[#This Row],[Order Date]])</f>
        <v>11</v>
      </c>
      <c r="D1117" t="s">
        <v>491</v>
      </c>
      <c r="E1117" t="s">
        <v>13</v>
      </c>
      <c r="F1117" t="s">
        <v>18</v>
      </c>
      <c r="G1117" t="s">
        <v>19</v>
      </c>
      <c r="H1117" s="5">
        <v>2957</v>
      </c>
      <c r="I1117">
        <v>16</v>
      </c>
      <c r="J1117" s="5">
        <v>917</v>
      </c>
    </row>
    <row r="1118" spans="1:10" x14ac:dyDescent="0.35">
      <c r="A1118" s="1">
        <v>45617</v>
      </c>
      <c r="B1118" s="2">
        <f>YEAR(Sales_Dataset[[#This Row],[Order Date]])</f>
        <v>2024</v>
      </c>
      <c r="C1118" s="2">
        <f>MONTH(Sales_Dataset[[#This Row],[Order Date]])</f>
        <v>11</v>
      </c>
      <c r="D1118" t="s">
        <v>518</v>
      </c>
      <c r="E1118" t="s">
        <v>22</v>
      </c>
      <c r="F1118" t="s">
        <v>24</v>
      </c>
      <c r="G1118" t="s">
        <v>25</v>
      </c>
      <c r="H1118" s="5">
        <v>8709</v>
      </c>
      <c r="I1118">
        <v>8</v>
      </c>
      <c r="J1118" s="5">
        <v>2322</v>
      </c>
    </row>
    <row r="1119" spans="1:10" x14ac:dyDescent="0.35">
      <c r="A1119" s="1">
        <v>45618</v>
      </c>
      <c r="B1119" s="2">
        <f>YEAR(Sales_Dataset[[#This Row],[Order Date]])</f>
        <v>2024</v>
      </c>
      <c r="C1119" s="2">
        <f>MONTH(Sales_Dataset[[#This Row],[Order Date]])</f>
        <v>11</v>
      </c>
      <c r="D1119" t="s">
        <v>589</v>
      </c>
      <c r="E1119" t="s">
        <v>22</v>
      </c>
      <c r="F1119" t="s">
        <v>24</v>
      </c>
      <c r="G1119" t="s">
        <v>27</v>
      </c>
      <c r="H1119" s="5">
        <v>5317</v>
      </c>
      <c r="I1119">
        <v>18</v>
      </c>
      <c r="J1119" s="5">
        <v>1345</v>
      </c>
    </row>
    <row r="1120" spans="1:10" x14ac:dyDescent="0.35">
      <c r="A1120" s="1">
        <v>45618</v>
      </c>
      <c r="B1120" s="2">
        <f>YEAR(Sales_Dataset[[#This Row],[Order Date]])</f>
        <v>2024</v>
      </c>
      <c r="C1120" s="2">
        <f>MONTH(Sales_Dataset[[#This Row],[Order Date]])</f>
        <v>11</v>
      </c>
      <c r="D1120" t="s">
        <v>589</v>
      </c>
      <c r="E1120" t="s">
        <v>22</v>
      </c>
      <c r="F1120" t="s">
        <v>24</v>
      </c>
      <c r="G1120" t="s">
        <v>25</v>
      </c>
      <c r="H1120" s="5">
        <v>6304</v>
      </c>
      <c r="I1120">
        <v>14</v>
      </c>
      <c r="J1120" s="5">
        <v>766</v>
      </c>
    </row>
    <row r="1121" spans="1:10" x14ac:dyDescent="0.35">
      <c r="A1121" s="1">
        <v>45620</v>
      </c>
      <c r="B1121" s="2">
        <f>YEAR(Sales_Dataset[[#This Row],[Order Date]])</f>
        <v>2024</v>
      </c>
      <c r="C1121" s="2">
        <f>MONTH(Sales_Dataset[[#This Row],[Order Date]])</f>
        <v>11</v>
      </c>
      <c r="D1121" t="s">
        <v>469</v>
      </c>
      <c r="E1121" t="s">
        <v>15</v>
      </c>
      <c r="F1121" t="s">
        <v>24</v>
      </c>
      <c r="G1121" t="s">
        <v>25</v>
      </c>
      <c r="H1121" s="5">
        <v>717</v>
      </c>
      <c r="I1121">
        <v>16</v>
      </c>
      <c r="J1121" s="5">
        <v>158</v>
      </c>
    </row>
    <row r="1122" spans="1:10" x14ac:dyDescent="0.35">
      <c r="A1122" s="1">
        <v>45620</v>
      </c>
      <c r="B1122" s="2">
        <f>YEAR(Sales_Dataset[[#This Row],[Order Date]])</f>
        <v>2024</v>
      </c>
      <c r="C1122" s="2">
        <f>MONTH(Sales_Dataset[[#This Row],[Order Date]])</f>
        <v>11</v>
      </c>
      <c r="D1122" t="s">
        <v>469</v>
      </c>
      <c r="E1122" t="s">
        <v>15</v>
      </c>
      <c r="F1122" t="s">
        <v>24</v>
      </c>
      <c r="G1122" t="s">
        <v>31</v>
      </c>
      <c r="H1122" s="5">
        <v>508</v>
      </c>
      <c r="I1122">
        <v>17</v>
      </c>
      <c r="J1122" s="5">
        <v>177</v>
      </c>
    </row>
    <row r="1123" spans="1:10" x14ac:dyDescent="0.35">
      <c r="A1123" s="1">
        <v>45621</v>
      </c>
      <c r="B1123" s="2">
        <f>YEAR(Sales_Dataset[[#This Row],[Order Date]])</f>
        <v>2024</v>
      </c>
      <c r="C1123" s="2">
        <f>MONTH(Sales_Dataset[[#This Row],[Order Date]])</f>
        <v>11</v>
      </c>
      <c r="D1123" t="s">
        <v>304</v>
      </c>
      <c r="E1123" t="s">
        <v>22</v>
      </c>
      <c r="F1123" t="s">
        <v>24</v>
      </c>
      <c r="G1123" t="s">
        <v>51</v>
      </c>
      <c r="H1123" s="5">
        <v>5911</v>
      </c>
      <c r="I1123">
        <v>14</v>
      </c>
      <c r="J1123" s="5">
        <v>2333</v>
      </c>
    </row>
    <row r="1124" spans="1:10" x14ac:dyDescent="0.35">
      <c r="A1124" s="1">
        <v>45621</v>
      </c>
      <c r="B1124" s="2">
        <f>YEAR(Sales_Dataset[[#This Row],[Order Date]])</f>
        <v>2024</v>
      </c>
      <c r="C1124" s="2">
        <f>MONTH(Sales_Dataset[[#This Row],[Order Date]])</f>
        <v>11</v>
      </c>
      <c r="D1124" t="s">
        <v>304</v>
      </c>
      <c r="E1124" t="s">
        <v>22</v>
      </c>
      <c r="F1124" t="s">
        <v>18</v>
      </c>
      <c r="G1124" t="s">
        <v>30</v>
      </c>
      <c r="H1124" s="5">
        <v>1818</v>
      </c>
      <c r="I1124">
        <v>11</v>
      </c>
      <c r="J1124" s="5">
        <v>738</v>
      </c>
    </row>
    <row r="1125" spans="1:10" x14ac:dyDescent="0.35">
      <c r="A1125" s="1">
        <v>45621</v>
      </c>
      <c r="B1125" s="2">
        <f>YEAR(Sales_Dataset[[#This Row],[Order Date]])</f>
        <v>2024</v>
      </c>
      <c r="C1125" s="2">
        <f>MONTH(Sales_Dataset[[#This Row],[Order Date]])</f>
        <v>11</v>
      </c>
      <c r="D1125" t="s">
        <v>574</v>
      </c>
      <c r="E1125" t="s">
        <v>22</v>
      </c>
      <c r="F1125" t="s">
        <v>10</v>
      </c>
      <c r="G1125" t="s">
        <v>16</v>
      </c>
      <c r="H1125" s="5">
        <v>5313</v>
      </c>
      <c r="I1125">
        <v>7</v>
      </c>
      <c r="J1125" s="5">
        <v>2037</v>
      </c>
    </row>
    <row r="1126" spans="1:10" x14ac:dyDescent="0.35">
      <c r="A1126" s="1">
        <v>45623</v>
      </c>
      <c r="B1126" s="2">
        <f>YEAR(Sales_Dataset[[#This Row],[Order Date]])</f>
        <v>2024</v>
      </c>
      <c r="C1126" s="2">
        <f>MONTH(Sales_Dataset[[#This Row],[Order Date]])</f>
        <v>11</v>
      </c>
      <c r="D1126" t="s">
        <v>669</v>
      </c>
      <c r="E1126" t="s">
        <v>9</v>
      </c>
      <c r="F1126" t="s">
        <v>24</v>
      </c>
      <c r="G1126" t="s">
        <v>27</v>
      </c>
      <c r="H1126" s="5">
        <v>1146</v>
      </c>
      <c r="I1126">
        <v>9</v>
      </c>
      <c r="J1126" s="5">
        <v>188</v>
      </c>
    </row>
    <row r="1127" spans="1:10" x14ac:dyDescent="0.35">
      <c r="A1127" s="1">
        <v>45631</v>
      </c>
      <c r="B1127" s="2">
        <f>YEAR(Sales_Dataset[[#This Row],[Order Date]])</f>
        <v>2024</v>
      </c>
      <c r="C1127" s="2">
        <f>MONTH(Sales_Dataset[[#This Row],[Order Date]])</f>
        <v>12</v>
      </c>
      <c r="D1127" t="s">
        <v>505</v>
      </c>
      <c r="E1127" t="s">
        <v>15</v>
      </c>
      <c r="F1127" t="s">
        <v>10</v>
      </c>
      <c r="G1127" t="s">
        <v>41</v>
      </c>
      <c r="H1127" s="5">
        <v>599</v>
      </c>
      <c r="I1127">
        <v>4</v>
      </c>
      <c r="J1127" s="5">
        <v>265</v>
      </c>
    </row>
    <row r="1128" spans="1:10" x14ac:dyDescent="0.35">
      <c r="A1128" s="1">
        <v>45631</v>
      </c>
      <c r="B1128" s="2">
        <f>YEAR(Sales_Dataset[[#This Row],[Order Date]])</f>
        <v>2024</v>
      </c>
      <c r="C1128" s="2">
        <f>MONTH(Sales_Dataset[[#This Row],[Order Date]])</f>
        <v>12</v>
      </c>
      <c r="D1128" t="s">
        <v>505</v>
      </c>
      <c r="E1128" t="s">
        <v>15</v>
      </c>
      <c r="F1128" t="s">
        <v>24</v>
      </c>
      <c r="G1128" t="s">
        <v>51</v>
      </c>
      <c r="H1128" s="5">
        <v>2727</v>
      </c>
      <c r="I1128">
        <v>10</v>
      </c>
      <c r="J1128" s="5">
        <v>543</v>
      </c>
    </row>
    <row r="1129" spans="1:10" x14ac:dyDescent="0.35">
      <c r="A1129" s="1">
        <v>45632</v>
      </c>
      <c r="B1129" s="2">
        <f>YEAR(Sales_Dataset[[#This Row],[Order Date]])</f>
        <v>2024</v>
      </c>
      <c r="C1129" s="2">
        <f>MONTH(Sales_Dataset[[#This Row],[Order Date]])</f>
        <v>12</v>
      </c>
      <c r="D1129" t="s">
        <v>146</v>
      </c>
      <c r="E1129" t="s">
        <v>47</v>
      </c>
      <c r="F1129" t="s">
        <v>18</v>
      </c>
      <c r="G1129" t="s">
        <v>39</v>
      </c>
      <c r="H1129" s="5">
        <v>949</v>
      </c>
      <c r="I1129">
        <v>9</v>
      </c>
      <c r="J1129" s="5">
        <v>301</v>
      </c>
    </row>
    <row r="1130" spans="1:10" x14ac:dyDescent="0.35">
      <c r="A1130" s="1">
        <v>45632</v>
      </c>
      <c r="B1130" s="2">
        <f>YEAR(Sales_Dataset[[#This Row],[Order Date]])</f>
        <v>2024</v>
      </c>
      <c r="C1130" s="2">
        <f>MONTH(Sales_Dataset[[#This Row],[Order Date]])</f>
        <v>12</v>
      </c>
      <c r="D1130" t="s">
        <v>146</v>
      </c>
      <c r="E1130" t="s">
        <v>47</v>
      </c>
      <c r="F1130" t="s">
        <v>18</v>
      </c>
      <c r="G1130" t="s">
        <v>39</v>
      </c>
      <c r="H1130" s="5">
        <v>6823</v>
      </c>
      <c r="I1130">
        <v>6</v>
      </c>
      <c r="J1130" s="5">
        <v>771</v>
      </c>
    </row>
    <row r="1131" spans="1:10" x14ac:dyDescent="0.35">
      <c r="A1131" s="1">
        <v>45632</v>
      </c>
      <c r="B1131" s="2">
        <f>YEAR(Sales_Dataset[[#This Row],[Order Date]])</f>
        <v>2024</v>
      </c>
      <c r="C1131" s="2">
        <f>MONTH(Sales_Dataset[[#This Row],[Order Date]])</f>
        <v>12</v>
      </c>
      <c r="D1131" t="s">
        <v>146</v>
      </c>
      <c r="E1131" t="s">
        <v>47</v>
      </c>
      <c r="F1131" t="s">
        <v>24</v>
      </c>
      <c r="G1131" t="s">
        <v>25</v>
      </c>
      <c r="H1131" s="5">
        <v>4364</v>
      </c>
      <c r="I1131">
        <v>2</v>
      </c>
      <c r="J1131" s="5">
        <v>831</v>
      </c>
    </row>
    <row r="1132" spans="1:10" x14ac:dyDescent="0.35">
      <c r="A1132" s="1">
        <v>45633</v>
      </c>
      <c r="B1132" s="2">
        <f>YEAR(Sales_Dataset[[#This Row],[Order Date]])</f>
        <v>2024</v>
      </c>
      <c r="C1132" s="2">
        <f>MONTH(Sales_Dataset[[#This Row],[Order Date]])</f>
        <v>12</v>
      </c>
      <c r="D1132" t="s">
        <v>86</v>
      </c>
      <c r="E1132" t="s">
        <v>36</v>
      </c>
      <c r="F1132" t="s">
        <v>10</v>
      </c>
      <c r="G1132" t="s">
        <v>16</v>
      </c>
      <c r="H1132" s="5">
        <v>523</v>
      </c>
      <c r="I1132">
        <v>20</v>
      </c>
      <c r="J1132" s="5">
        <v>95</v>
      </c>
    </row>
    <row r="1133" spans="1:10" x14ac:dyDescent="0.35">
      <c r="A1133" s="1">
        <v>45635</v>
      </c>
      <c r="B1133" s="2">
        <f>YEAR(Sales_Dataset[[#This Row],[Order Date]])</f>
        <v>2024</v>
      </c>
      <c r="C1133" s="2">
        <f>MONTH(Sales_Dataset[[#This Row],[Order Date]])</f>
        <v>12</v>
      </c>
      <c r="D1133" t="s">
        <v>368</v>
      </c>
      <c r="E1133" t="s">
        <v>15</v>
      </c>
      <c r="F1133" t="s">
        <v>18</v>
      </c>
      <c r="G1133" t="s">
        <v>39</v>
      </c>
      <c r="H1133" s="5">
        <v>3977</v>
      </c>
      <c r="I1133">
        <v>5</v>
      </c>
      <c r="J1133" s="5">
        <v>813</v>
      </c>
    </row>
    <row r="1134" spans="1:10" x14ac:dyDescent="0.35">
      <c r="A1134" s="1">
        <v>45638</v>
      </c>
      <c r="B1134" s="2">
        <f>YEAR(Sales_Dataset[[#This Row],[Order Date]])</f>
        <v>2024</v>
      </c>
      <c r="C1134" s="2">
        <f>MONTH(Sales_Dataset[[#This Row],[Order Date]])</f>
        <v>12</v>
      </c>
      <c r="D1134" t="s">
        <v>65</v>
      </c>
      <c r="E1134" t="s">
        <v>47</v>
      </c>
      <c r="F1134" t="s">
        <v>18</v>
      </c>
      <c r="G1134" t="s">
        <v>33</v>
      </c>
      <c r="H1134" s="5">
        <v>953</v>
      </c>
      <c r="I1134">
        <v>2</v>
      </c>
      <c r="J1134" s="5">
        <v>93</v>
      </c>
    </row>
    <row r="1135" spans="1:10" x14ac:dyDescent="0.35">
      <c r="A1135" s="1">
        <v>45638</v>
      </c>
      <c r="B1135" s="2">
        <f>YEAR(Sales_Dataset[[#This Row],[Order Date]])</f>
        <v>2024</v>
      </c>
      <c r="C1135" s="2">
        <f>MONTH(Sales_Dataset[[#This Row],[Order Date]])</f>
        <v>12</v>
      </c>
      <c r="D1135" t="s">
        <v>65</v>
      </c>
      <c r="E1135" t="s">
        <v>47</v>
      </c>
      <c r="F1135" t="s">
        <v>24</v>
      </c>
      <c r="G1135" t="s">
        <v>31</v>
      </c>
      <c r="H1135" s="5">
        <v>7355</v>
      </c>
      <c r="I1135">
        <v>3</v>
      </c>
      <c r="J1135" s="5">
        <v>1034</v>
      </c>
    </row>
    <row r="1136" spans="1:10" x14ac:dyDescent="0.35">
      <c r="A1136" s="1">
        <v>45638</v>
      </c>
      <c r="B1136" s="2">
        <f>YEAR(Sales_Dataset[[#This Row],[Order Date]])</f>
        <v>2024</v>
      </c>
      <c r="C1136" s="2">
        <f>MONTH(Sales_Dataset[[#This Row],[Order Date]])</f>
        <v>12</v>
      </c>
      <c r="D1136" t="s">
        <v>65</v>
      </c>
      <c r="E1136" t="s">
        <v>47</v>
      </c>
      <c r="F1136" t="s">
        <v>10</v>
      </c>
      <c r="G1136" t="s">
        <v>41</v>
      </c>
      <c r="H1136" s="5">
        <v>1843</v>
      </c>
      <c r="I1136">
        <v>3</v>
      </c>
      <c r="J1136" s="5">
        <v>248</v>
      </c>
    </row>
    <row r="1137" spans="1:10" x14ac:dyDescent="0.35">
      <c r="A1137" s="1">
        <v>45638</v>
      </c>
      <c r="B1137" s="2">
        <f>YEAR(Sales_Dataset[[#This Row],[Order Date]])</f>
        <v>2024</v>
      </c>
      <c r="C1137" s="2">
        <f>MONTH(Sales_Dataset[[#This Row],[Order Date]])</f>
        <v>12</v>
      </c>
      <c r="D1137" t="s">
        <v>65</v>
      </c>
      <c r="E1137" t="s">
        <v>47</v>
      </c>
      <c r="F1137" t="s">
        <v>18</v>
      </c>
      <c r="G1137" t="s">
        <v>19</v>
      </c>
      <c r="H1137" s="5">
        <v>1603</v>
      </c>
      <c r="I1137">
        <v>10</v>
      </c>
      <c r="J1137" s="5">
        <v>361</v>
      </c>
    </row>
    <row r="1138" spans="1:10" x14ac:dyDescent="0.35">
      <c r="A1138" s="1">
        <v>45640</v>
      </c>
      <c r="B1138" s="2">
        <f>YEAR(Sales_Dataset[[#This Row],[Order Date]])</f>
        <v>2024</v>
      </c>
      <c r="C1138" s="2">
        <f>MONTH(Sales_Dataset[[#This Row],[Order Date]])</f>
        <v>12</v>
      </c>
      <c r="D1138" t="s">
        <v>682</v>
      </c>
      <c r="E1138" t="s">
        <v>9</v>
      </c>
      <c r="F1138" t="s">
        <v>10</v>
      </c>
      <c r="G1138" t="s">
        <v>41</v>
      </c>
      <c r="H1138" s="5">
        <v>1992</v>
      </c>
      <c r="I1138">
        <v>2</v>
      </c>
      <c r="J1138" s="5">
        <v>355</v>
      </c>
    </row>
    <row r="1139" spans="1:10" x14ac:dyDescent="0.35">
      <c r="A1139" s="1">
        <v>45645</v>
      </c>
      <c r="B1139" s="2">
        <f>YEAR(Sales_Dataset[[#This Row],[Order Date]])</f>
        <v>2024</v>
      </c>
      <c r="C1139" s="2">
        <f>MONTH(Sales_Dataset[[#This Row],[Order Date]])</f>
        <v>12</v>
      </c>
      <c r="D1139" t="s">
        <v>245</v>
      </c>
      <c r="E1139" t="s">
        <v>22</v>
      </c>
      <c r="F1139" t="s">
        <v>18</v>
      </c>
      <c r="G1139" t="s">
        <v>30</v>
      </c>
      <c r="H1139" s="5">
        <v>1290</v>
      </c>
      <c r="I1139">
        <v>12</v>
      </c>
      <c r="J1139" s="5">
        <v>204</v>
      </c>
    </row>
    <row r="1140" spans="1:10" x14ac:dyDescent="0.35">
      <c r="A1140" s="1">
        <v>45645</v>
      </c>
      <c r="B1140" s="2">
        <f>YEAR(Sales_Dataset[[#This Row],[Order Date]])</f>
        <v>2024</v>
      </c>
      <c r="C1140" s="2">
        <f>MONTH(Sales_Dataset[[#This Row],[Order Date]])</f>
        <v>12</v>
      </c>
      <c r="D1140" t="s">
        <v>560</v>
      </c>
      <c r="E1140" t="s">
        <v>15</v>
      </c>
      <c r="F1140" t="s">
        <v>18</v>
      </c>
      <c r="G1140" t="s">
        <v>30</v>
      </c>
      <c r="H1140" s="5">
        <v>6673</v>
      </c>
      <c r="I1140">
        <v>19</v>
      </c>
      <c r="J1140" s="5">
        <v>950</v>
      </c>
    </row>
    <row r="1141" spans="1:10" x14ac:dyDescent="0.35">
      <c r="A1141" s="1">
        <v>45652</v>
      </c>
      <c r="B1141" s="2">
        <f>YEAR(Sales_Dataset[[#This Row],[Order Date]])</f>
        <v>2024</v>
      </c>
      <c r="C1141" s="2">
        <f>MONTH(Sales_Dataset[[#This Row],[Order Date]])</f>
        <v>12</v>
      </c>
      <c r="D1141" t="s">
        <v>296</v>
      </c>
      <c r="E1141" t="s">
        <v>36</v>
      </c>
      <c r="F1141" t="s">
        <v>18</v>
      </c>
      <c r="G1141" t="s">
        <v>19</v>
      </c>
      <c r="H1141" s="5">
        <v>3956</v>
      </c>
      <c r="I1141">
        <v>12</v>
      </c>
      <c r="J1141" s="5">
        <v>142</v>
      </c>
    </row>
    <row r="1142" spans="1:10" x14ac:dyDescent="0.35">
      <c r="A1142" s="1">
        <v>45652</v>
      </c>
      <c r="B1142" s="2">
        <f>YEAR(Sales_Dataset[[#This Row],[Order Date]])</f>
        <v>2024</v>
      </c>
      <c r="C1142" s="2">
        <f>MONTH(Sales_Dataset[[#This Row],[Order Date]])</f>
        <v>12</v>
      </c>
      <c r="D1142" t="s">
        <v>296</v>
      </c>
      <c r="E1142" t="s">
        <v>36</v>
      </c>
      <c r="F1142" t="s">
        <v>24</v>
      </c>
      <c r="G1142" t="s">
        <v>51</v>
      </c>
      <c r="H1142" s="5">
        <v>6449</v>
      </c>
      <c r="I1142">
        <v>11</v>
      </c>
      <c r="J1142" s="5">
        <v>2628</v>
      </c>
    </row>
    <row r="1143" spans="1:10" x14ac:dyDescent="0.35">
      <c r="A1143" s="1">
        <v>45653</v>
      </c>
      <c r="B1143" s="2">
        <f>YEAR(Sales_Dataset[[#This Row],[Order Date]])</f>
        <v>2024</v>
      </c>
      <c r="C1143" s="2">
        <f>MONTH(Sales_Dataset[[#This Row],[Order Date]])</f>
        <v>12</v>
      </c>
      <c r="D1143" t="s">
        <v>12</v>
      </c>
      <c r="E1143" t="s">
        <v>13</v>
      </c>
      <c r="F1143" t="s">
        <v>10</v>
      </c>
      <c r="G1143" t="s">
        <v>11</v>
      </c>
      <c r="H1143" s="5">
        <v>9726</v>
      </c>
      <c r="I1143">
        <v>5</v>
      </c>
      <c r="J1143" s="5">
        <v>1275</v>
      </c>
    </row>
    <row r="1144" spans="1:10" x14ac:dyDescent="0.35">
      <c r="A1144" s="1">
        <v>45653</v>
      </c>
      <c r="B1144" s="2">
        <f>YEAR(Sales_Dataset[[#This Row],[Order Date]])</f>
        <v>2024</v>
      </c>
      <c r="C1144" s="2">
        <f>MONTH(Sales_Dataset[[#This Row],[Order Date]])</f>
        <v>12</v>
      </c>
      <c r="D1144" t="s">
        <v>12</v>
      </c>
      <c r="E1144" t="s">
        <v>13</v>
      </c>
      <c r="F1144" t="s">
        <v>10</v>
      </c>
      <c r="G1144" t="s">
        <v>16</v>
      </c>
      <c r="H1144" s="5">
        <v>4975</v>
      </c>
      <c r="I1144">
        <v>14</v>
      </c>
      <c r="J1144" s="5">
        <v>1330</v>
      </c>
    </row>
    <row r="1145" spans="1:10" x14ac:dyDescent="0.35">
      <c r="A1145" s="1">
        <v>45653</v>
      </c>
      <c r="B1145" s="2">
        <f>YEAR(Sales_Dataset[[#This Row],[Order Date]])</f>
        <v>2024</v>
      </c>
      <c r="C1145" s="2">
        <f>MONTH(Sales_Dataset[[#This Row],[Order Date]])</f>
        <v>12</v>
      </c>
      <c r="D1145" t="s">
        <v>57</v>
      </c>
      <c r="E1145" t="s">
        <v>22</v>
      </c>
      <c r="F1145" t="s">
        <v>24</v>
      </c>
      <c r="G1145" t="s">
        <v>25</v>
      </c>
      <c r="H1145" s="5">
        <v>3090</v>
      </c>
      <c r="I1145">
        <v>6</v>
      </c>
      <c r="J1145" s="5">
        <v>573</v>
      </c>
    </row>
    <row r="1146" spans="1:10" x14ac:dyDescent="0.35">
      <c r="A1146" s="1">
        <v>45653</v>
      </c>
      <c r="B1146" s="2">
        <f>YEAR(Sales_Dataset[[#This Row],[Order Date]])</f>
        <v>2024</v>
      </c>
      <c r="C1146" s="2">
        <f>MONTH(Sales_Dataset[[#This Row],[Order Date]])</f>
        <v>12</v>
      </c>
      <c r="D1146" t="s">
        <v>57</v>
      </c>
      <c r="E1146" t="s">
        <v>22</v>
      </c>
      <c r="F1146" t="s">
        <v>10</v>
      </c>
      <c r="G1146" t="s">
        <v>16</v>
      </c>
      <c r="H1146" s="5">
        <v>9683</v>
      </c>
      <c r="I1146">
        <v>5</v>
      </c>
      <c r="J1146" s="5">
        <v>1014</v>
      </c>
    </row>
    <row r="1147" spans="1:10" x14ac:dyDescent="0.35">
      <c r="A1147" s="1">
        <v>45653</v>
      </c>
      <c r="B1147" s="2">
        <f>YEAR(Sales_Dataset[[#This Row],[Order Date]])</f>
        <v>2024</v>
      </c>
      <c r="C1147" s="2">
        <f>MONTH(Sales_Dataset[[#This Row],[Order Date]])</f>
        <v>12</v>
      </c>
      <c r="D1147" t="s">
        <v>157</v>
      </c>
      <c r="E1147" t="s">
        <v>15</v>
      </c>
      <c r="F1147" t="s">
        <v>24</v>
      </c>
      <c r="G1147" t="s">
        <v>25</v>
      </c>
      <c r="H1147" s="5">
        <v>2759</v>
      </c>
      <c r="I1147">
        <v>6</v>
      </c>
      <c r="J1147" s="5">
        <v>1149</v>
      </c>
    </row>
    <row r="1148" spans="1:10" x14ac:dyDescent="0.35">
      <c r="A1148" s="1">
        <v>45654</v>
      </c>
      <c r="B1148" s="2">
        <f>YEAR(Sales_Dataset[[#This Row],[Order Date]])</f>
        <v>2024</v>
      </c>
      <c r="C1148" s="2">
        <f>MONTH(Sales_Dataset[[#This Row],[Order Date]])</f>
        <v>12</v>
      </c>
      <c r="D1148" t="s">
        <v>808</v>
      </c>
      <c r="E1148" t="s">
        <v>13</v>
      </c>
      <c r="F1148" t="s">
        <v>18</v>
      </c>
      <c r="G1148" t="s">
        <v>30</v>
      </c>
      <c r="H1148" s="5">
        <v>3451</v>
      </c>
      <c r="I1148">
        <v>3</v>
      </c>
      <c r="J1148" s="5">
        <v>658</v>
      </c>
    </row>
    <row r="1149" spans="1:10" x14ac:dyDescent="0.35">
      <c r="A1149" s="1">
        <v>45655</v>
      </c>
      <c r="B1149" s="2">
        <f>YEAR(Sales_Dataset[[#This Row],[Order Date]])</f>
        <v>2024</v>
      </c>
      <c r="C1149" s="2">
        <f>MONTH(Sales_Dataset[[#This Row],[Order Date]])</f>
        <v>12</v>
      </c>
      <c r="D1149" t="s">
        <v>655</v>
      </c>
      <c r="E1149" t="s">
        <v>9</v>
      </c>
      <c r="F1149" t="s">
        <v>24</v>
      </c>
      <c r="G1149" t="s">
        <v>31</v>
      </c>
      <c r="H1149" s="5">
        <v>5193</v>
      </c>
      <c r="I1149">
        <v>5</v>
      </c>
      <c r="J1149" s="5">
        <v>2530</v>
      </c>
    </row>
    <row r="1150" spans="1:10" x14ac:dyDescent="0.35">
      <c r="A1150" s="1">
        <v>45656</v>
      </c>
      <c r="B1150" s="2">
        <f>YEAR(Sales_Dataset[[#This Row],[Order Date]])</f>
        <v>2024</v>
      </c>
      <c r="C1150" s="2">
        <f>MONTH(Sales_Dataset[[#This Row],[Order Date]])</f>
        <v>12</v>
      </c>
      <c r="D1150" t="s">
        <v>34</v>
      </c>
      <c r="E1150" t="s">
        <v>15</v>
      </c>
      <c r="F1150" t="s">
        <v>18</v>
      </c>
      <c r="G1150" t="s">
        <v>33</v>
      </c>
      <c r="H1150" s="5">
        <v>725</v>
      </c>
      <c r="I1150">
        <v>6</v>
      </c>
      <c r="J1150" s="5">
        <v>133</v>
      </c>
    </row>
    <row r="1151" spans="1:10" x14ac:dyDescent="0.35">
      <c r="A1151" s="1">
        <v>45656</v>
      </c>
      <c r="B1151" s="2">
        <f>YEAR(Sales_Dataset[[#This Row],[Order Date]])</f>
        <v>2024</v>
      </c>
      <c r="C1151" s="2">
        <f>MONTH(Sales_Dataset[[#This Row],[Order Date]])</f>
        <v>12</v>
      </c>
      <c r="D1151" t="s">
        <v>34</v>
      </c>
      <c r="E1151" t="s">
        <v>15</v>
      </c>
      <c r="F1151" t="s">
        <v>24</v>
      </c>
      <c r="G1151" t="s">
        <v>25</v>
      </c>
      <c r="H1151" s="5">
        <v>7201</v>
      </c>
      <c r="I1151">
        <v>2</v>
      </c>
      <c r="J1151" s="5">
        <v>2685</v>
      </c>
    </row>
    <row r="1152" spans="1:10" x14ac:dyDescent="0.35">
      <c r="A1152" s="1">
        <v>45660</v>
      </c>
      <c r="B1152" s="2">
        <f>YEAR(Sales_Dataset[[#This Row],[Order Date]])</f>
        <v>2025</v>
      </c>
      <c r="C1152" s="2">
        <f>MONTH(Sales_Dataset[[#This Row],[Order Date]])</f>
        <v>1</v>
      </c>
      <c r="D1152" t="s">
        <v>437</v>
      </c>
      <c r="E1152" t="s">
        <v>22</v>
      </c>
      <c r="F1152" t="s">
        <v>24</v>
      </c>
      <c r="G1152" t="s">
        <v>25</v>
      </c>
      <c r="H1152" s="5">
        <v>5412</v>
      </c>
      <c r="I1152">
        <v>18</v>
      </c>
      <c r="J1152" s="5">
        <v>1192</v>
      </c>
    </row>
    <row r="1153" spans="1:10" x14ac:dyDescent="0.35">
      <c r="A1153" s="1">
        <v>45663</v>
      </c>
      <c r="B1153" s="2">
        <f>YEAR(Sales_Dataset[[#This Row],[Order Date]])</f>
        <v>2025</v>
      </c>
      <c r="C1153" s="2">
        <f>MONTH(Sales_Dataset[[#This Row],[Order Date]])</f>
        <v>1</v>
      </c>
      <c r="D1153" t="s">
        <v>150</v>
      </c>
      <c r="E1153" t="s">
        <v>36</v>
      </c>
      <c r="F1153" t="s">
        <v>10</v>
      </c>
      <c r="G1153" t="s">
        <v>16</v>
      </c>
      <c r="H1153" s="5">
        <v>7759</v>
      </c>
      <c r="I1153">
        <v>17</v>
      </c>
      <c r="J1153" s="5">
        <v>3741</v>
      </c>
    </row>
    <row r="1154" spans="1:10" x14ac:dyDescent="0.35">
      <c r="A1154" s="1">
        <v>45663</v>
      </c>
      <c r="B1154" s="2">
        <f>YEAR(Sales_Dataset[[#This Row],[Order Date]])</f>
        <v>2025</v>
      </c>
      <c r="C1154" s="2">
        <f>MONTH(Sales_Dataset[[#This Row],[Order Date]])</f>
        <v>1</v>
      </c>
      <c r="D1154" t="s">
        <v>150</v>
      </c>
      <c r="E1154" t="s">
        <v>36</v>
      </c>
      <c r="F1154" t="s">
        <v>18</v>
      </c>
      <c r="G1154" t="s">
        <v>30</v>
      </c>
      <c r="H1154" s="5">
        <v>7521</v>
      </c>
      <c r="I1154">
        <v>16</v>
      </c>
      <c r="J1154" s="5">
        <v>3457</v>
      </c>
    </row>
    <row r="1155" spans="1:10" x14ac:dyDescent="0.35">
      <c r="A1155" s="1">
        <v>45663</v>
      </c>
      <c r="B1155" s="2">
        <f>YEAR(Sales_Dataset[[#This Row],[Order Date]])</f>
        <v>2025</v>
      </c>
      <c r="C1155" s="2">
        <f>MONTH(Sales_Dataset[[#This Row],[Order Date]])</f>
        <v>1</v>
      </c>
      <c r="D1155" t="s">
        <v>792</v>
      </c>
      <c r="E1155" t="s">
        <v>47</v>
      </c>
      <c r="F1155" t="s">
        <v>24</v>
      </c>
      <c r="G1155" t="s">
        <v>31</v>
      </c>
      <c r="H1155" s="5">
        <v>4897</v>
      </c>
      <c r="I1155">
        <v>14</v>
      </c>
      <c r="J1155" s="5">
        <v>1001</v>
      </c>
    </row>
    <row r="1156" spans="1:10" x14ac:dyDescent="0.35">
      <c r="A1156" s="1">
        <v>45668</v>
      </c>
      <c r="B1156" s="2">
        <f>YEAR(Sales_Dataset[[#This Row],[Order Date]])</f>
        <v>2025</v>
      </c>
      <c r="C1156" s="2">
        <f>MONTH(Sales_Dataset[[#This Row],[Order Date]])</f>
        <v>1</v>
      </c>
      <c r="D1156" t="s">
        <v>600</v>
      </c>
      <c r="E1156" t="s">
        <v>22</v>
      </c>
      <c r="F1156" t="s">
        <v>18</v>
      </c>
      <c r="G1156" t="s">
        <v>19</v>
      </c>
      <c r="H1156" s="5">
        <v>3411</v>
      </c>
      <c r="I1156">
        <v>14</v>
      </c>
      <c r="J1156" s="5">
        <v>1704</v>
      </c>
    </row>
    <row r="1157" spans="1:10" x14ac:dyDescent="0.35">
      <c r="A1157" s="1">
        <v>45671</v>
      </c>
      <c r="B1157" s="2">
        <f>YEAR(Sales_Dataset[[#This Row],[Order Date]])</f>
        <v>2025</v>
      </c>
      <c r="C1157" s="2">
        <f>MONTH(Sales_Dataset[[#This Row],[Order Date]])</f>
        <v>1</v>
      </c>
      <c r="D1157" t="s">
        <v>804</v>
      </c>
      <c r="E1157" t="s">
        <v>22</v>
      </c>
      <c r="F1157" t="s">
        <v>18</v>
      </c>
      <c r="G1157" t="s">
        <v>19</v>
      </c>
      <c r="H1157" s="5">
        <v>8848</v>
      </c>
      <c r="I1157">
        <v>9</v>
      </c>
      <c r="J1157" s="5">
        <v>2090</v>
      </c>
    </row>
    <row r="1158" spans="1:10" x14ac:dyDescent="0.35">
      <c r="A1158" s="1">
        <v>45672</v>
      </c>
      <c r="B1158" s="2">
        <f>YEAR(Sales_Dataset[[#This Row],[Order Date]])</f>
        <v>2025</v>
      </c>
      <c r="C1158" s="2">
        <f>MONTH(Sales_Dataset[[#This Row],[Order Date]])</f>
        <v>1</v>
      </c>
      <c r="D1158" t="s">
        <v>496</v>
      </c>
      <c r="E1158" t="s">
        <v>15</v>
      </c>
      <c r="F1158" t="s">
        <v>24</v>
      </c>
      <c r="G1158" t="s">
        <v>25</v>
      </c>
      <c r="H1158" s="5">
        <v>5376</v>
      </c>
      <c r="I1158">
        <v>7</v>
      </c>
      <c r="J1158" s="5">
        <v>1928</v>
      </c>
    </row>
    <row r="1159" spans="1:10" x14ac:dyDescent="0.35">
      <c r="A1159" s="1">
        <v>45672</v>
      </c>
      <c r="B1159" s="2">
        <f>YEAR(Sales_Dataset[[#This Row],[Order Date]])</f>
        <v>2025</v>
      </c>
      <c r="C1159" s="2">
        <f>MONTH(Sales_Dataset[[#This Row],[Order Date]])</f>
        <v>1</v>
      </c>
      <c r="D1159" t="s">
        <v>584</v>
      </c>
      <c r="E1159" t="s">
        <v>47</v>
      </c>
      <c r="F1159" t="s">
        <v>18</v>
      </c>
      <c r="G1159" t="s">
        <v>30</v>
      </c>
      <c r="H1159" s="5">
        <v>9002</v>
      </c>
      <c r="I1159">
        <v>2</v>
      </c>
      <c r="J1159" s="5">
        <v>4197</v>
      </c>
    </row>
    <row r="1160" spans="1:10" x14ac:dyDescent="0.35">
      <c r="A1160" s="1">
        <v>45682</v>
      </c>
      <c r="B1160" s="2">
        <f>YEAR(Sales_Dataset[[#This Row],[Order Date]])</f>
        <v>2025</v>
      </c>
      <c r="C1160" s="2">
        <f>MONTH(Sales_Dataset[[#This Row],[Order Date]])</f>
        <v>1</v>
      </c>
      <c r="D1160" t="s">
        <v>709</v>
      </c>
      <c r="E1160" t="s">
        <v>47</v>
      </c>
      <c r="F1160" t="s">
        <v>10</v>
      </c>
      <c r="G1160" t="s">
        <v>41</v>
      </c>
      <c r="H1160" s="5">
        <v>7566</v>
      </c>
      <c r="I1160">
        <v>6</v>
      </c>
      <c r="J1160" s="5">
        <v>606</v>
      </c>
    </row>
    <row r="1161" spans="1:10" x14ac:dyDescent="0.35">
      <c r="A1161" s="1">
        <v>45684</v>
      </c>
      <c r="B1161" s="2">
        <f>YEAR(Sales_Dataset[[#This Row],[Order Date]])</f>
        <v>2025</v>
      </c>
      <c r="C1161" s="2">
        <f>MONTH(Sales_Dataset[[#This Row],[Order Date]])</f>
        <v>1</v>
      </c>
      <c r="D1161" t="s">
        <v>386</v>
      </c>
      <c r="E1161" t="s">
        <v>9</v>
      </c>
      <c r="F1161" t="s">
        <v>10</v>
      </c>
      <c r="G1161" t="s">
        <v>11</v>
      </c>
      <c r="H1161" s="5">
        <v>5666</v>
      </c>
      <c r="I1161">
        <v>17</v>
      </c>
      <c r="J1161" s="5">
        <v>2733</v>
      </c>
    </row>
    <row r="1162" spans="1:10" x14ac:dyDescent="0.35">
      <c r="A1162" s="1">
        <v>45684</v>
      </c>
      <c r="B1162" s="2">
        <f>YEAR(Sales_Dataset[[#This Row],[Order Date]])</f>
        <v>2025</v>
      </c>
      <c r="C1162" s="2">
        <f>MONTH(Sales_Dataset[[#This Row],[Order Date]])</f>
        <v>1</v>
      </c>
      <c r="D1162" t="s">
        <v>739</v>
      </c>
      <c r="E1162" t="s">
        <v>22</v>
      </c>
      <c r="F1162" t="s">
        <v>18</v>
      </c>
      <c r="G1162" t="s">
        <v>30</v>
      </c>
      <c r="H1162" s="5">
        <v>8104</v>
      </c>
      <c r="I1162">
        <v>6</v>
      </c>
      <c r="J1162" s="5">
        <v>1039</v>
      </c>
    </row>
    <row r="1163" spans="1:10" x14ac:dyDescent="0.35">
      <c r="A1163" s="1">
        <v>45686</v>
      </c>
      <c r="B1163" s="2">
        <f>YEAR(Sales_Dataset[[#This Row],[Order Date]])</f>
        <v>2025</v>
      </c>
      <c r="C1163" s="2">
        <f>MONTH(Sales_Dataset[[#This Row],[Order Date]])</f>
        <v>1</v>
      </c>
      <c r="D1163" t="s">
        <v>273</v>
      </c>
      <c r="E1163" t="s">
        <v>13</v>
      </c>
      <c r="F1163" t="s">
        <v>10</v>
      </c>
      <c r="G1163" t="s">
        <v>11</v>
      </c>
      <c r="H1163" s="5">
        <v>9707</v>
      </c>
      <c r="I1163">
        <v>10</v>
      </c>
      <c r="J1163" s="5">
        <v>3483</v>
      </c>
    </row>
    <row r="1164" spans="1:10" x14ac:dyDescent="0.35">
      <c r="A1164" s="1">
        <v>45686</v>
      </c>
      <c r="B1164" s="2">
        <f>YEAR(Sales_Dataset[[#This Row],[Order Date]])</f>
        <v>2025</v>
      </c>
      <c r="C1164" s="2">
        <f>MONTH(Sales_Dataset[[#This Row],[Order Date]])</f>
        <v>1</v>
      </c>
      <c r="D1164" t="s">
        <v>273</v>
      </c>
      <c r="E1164" t="s">
        <v>13</v>
      </c>
      <c r="F1164" t="s">
        <v>18</v>
      </c>
      <c r="G1164" t="s">
        <v>33</v>
      </c>
      <c r="H1164" s="5">
        <v>8521</v>
      </c>
      <c r="I1164">
        <v>7</v>
      </c>
      <c r="J1164" s="5">
        <v>2584</v>
      </c>
    </row>
    <row r="1165" spans="1:10" x14ac:dyDescent="0.35">
      <c r="A1165" s="1">
        <v>45687</v>
      </c>
      <c r="B1165" s="2">
        <f>YEAR(Sales_Dataset[[#This Row],[Order Date]])</f>
        <v>2025</v>
      </c>
      <c r="C1165" s="2">
        <f>MONTH(Sales_Dataset[[#This Row],[Order Date]])</f>
        <v>1</v>
      </c>
      <c r="D1165" t="s">
        <v>583</v>
      </c>
      <c r="E1165" t="s">
        <v>15</v>
      </c>
      <c r="F1165" t="s">
        <v>10</v>
      </c>
      <c r="G1165" t="s">
        <v>16</v>
      </c>
      <c r="H1165" s="5">
        <v>9369</v>
      </c>
      <c r="I1165">
        <v>6</v>
      </c>
      <c r="J1165" s="5">
        <v>3297</v>
      </c>
    </row>
    <row r="1166" spans="1:10" x14ac:dyDescent="0.35">
      <c r="A1166" s="1">
        <v>45687</v>
      </c>
      <c r="B1166" s="2">
        <f>YEAR(Sales_Dataset[[#This Row],[Order Date]])</f>
        <v>2025</v>
      </c>
      <c r="C1166" s="2">
        <f>MONTH(Sales_Dataset[[#This Row],[Order Date]])</f>
        <v>1</v>
      </c>
      <c r="D1166" t="s">
        <v>583</v>
      </c>
      <c r="E1166" t="s">
        <v>15</v>
      </c>
      <c r="F1166" t="s">
        <v>10</v>
      </c>
      <c r="G1166" t="s">
        <v>16</v>
      </c>
      <c r="H1166" s="5">
        <v>8680</v>
      </c>
      <c r="I1166">
        <v>20</v>
      </c>
      <c r="J1166" s="5">
        <v>4068</v>
      </c>
    </row>
    <row r="1167" spans="1:10" x14ac:dyDescent="0.35">
      <c r="A1167" s="1">
        <v>45687</v>
      </c>
      <c r="B1167" s="2">
        <f>YEAR(Sales_Dataset[[#This Row],[Order Date]])</f>
        <v>2025</v>
      </c>
      <c r="C1167" s="2">
        <f>MONTH(Sales_Dataset[[#This Row],[Order Date]])</f>
        <v>1</v>
      </c>
      <c r="D1167" t="s">
        <v>583</v>
      </c>
      <c r="E1167" t="s">
        <v>15</v>
      </c>
      <c r="F1167" t="s">
        <v>10</v>
      </c>
      <c r="G1167" t="s">
        <v>23</v>
      </c>
      <c r="H1167" s="5">
        <v>3067</v>
      </c>
      <c r="I1167">
        <v>8</v>
      </c>
      <c r="J1167" s="5">
        <v>1475</v>
      </c>
    </row>
    <row r="1168" spans="1:10" x14ac:dyDescent="0.35">
      <c r="A1168" s="1">
        <v>45689</v>
      </c>
      <c r="B1168" s="2">
        <f>YEAR(Sales_Dataset[[#This Row],[Order Date]])</f>
        <v>2025</v>
      </c>
      <c r="C1168" s="2">
        <f>MONTH(Sales_Dataset[[#This Row],[Order Date]])</f>
        <v>2</v>
      </c>
      <c r="D1168" t="s">
        <v>579</v>
      </c>
      <c r="E1168" t="s">
        <v>13</v>
      </c>
      <c r="F1168" t="s">
        <v>24</v>
      </c>
      <c r="G1168" t="s">
        <v>31</v>
      </c>
      <c r="H1168" s="5">
        <v>6195</v>
      </c>
      <c r="I1168">
        <v>18</v>
      </c>
      <c r="J1168" s="5">
        <v>1556</v>
      </c>
    </row>
    <row r="1169" spans="1:10" x14ac:dyDescent="0.35">
      <c r="A1169" s="1">
        <v>45690</v>
      </c>
      <c r="B1169" s="2">
        <f>YEAR(Sales_Dataset[[#This Row],[Order Date]])</f>
        <v>2025</v>
      </c>
      <c r="C1169" s="2">
        <f>MONTH(Sales_Dataset[[#This Row],[Order Date]])</f>
        <v>2</v>
      </c>
      <c r="D1169" t="s">
        <v>205</v>
      </c>
      <c r="E1169" t="s">
        <v>13</v>
      </c>
      <c r="F1169" t="s">
        <v>18</v>
      </c>
      <c r="G1169" t="s">
        <v>19</v>
      </c>
      <c r="H1169" s="5">
        <v>3137</v>
      </c>
      <c r="I1169">
        <v>9</v>
      </c>
      <c r="J1169" s="5">
        <v>571</v>
      </c>
    </row>
    <row r="1170" spans="1:10" x14ac:dyDescent="0.35">
      <c r="A1170" s="1">
        <v>45690</v>
      </c>
      <c r="B1170" s="2">
        <f>YEAR(Sales_Dataset[[#This Row],[Order Date]])</f>
        <v>2025</v>
      </c>
      <c r="C1170" s="2">
        <f>MONTH(Sales_Dataset[[#This Row],[Order Date]])</f>
        <v>2</v>
      </c>
      <c r="D1170" t="s">
        <v>348</v>
      </c>
      <c r="E1170" t="s">
        <v>22</v>
      </c>
      <c r="F1170" t="s">
        <v>10</v>
      </c>
      <c r="G1170" t="s">
        <v>23</v>
      </c>
      <c r="H1170" s="5">
        <v>4470</v>
      </c>
      <c r="I1170">
        <v>13</v>
      </c>
      <c r="J1170" s="5">
        <v>413</v>
      </c>
    </row>
    <row r="1171" spans="1:10" x14ac:dyDescent="0.35">
      <c r="A1171" s="1">
        <v>45692</v>
      </c>
      <c r="B1171" s="2">
        <f>YEAR(Sales_Dataset[[#This Row],[Order Date]])</f>
        <v>2025</v>
      </c>
      <c r="C1171" s="2">
        <f>MONTH(Sales_Dataset[[#This Row],[Order Date]])</f>
        <v>2</v>
      </c>
      <c r="D1171" t="s">
        <v>410</v>
      </c>
      <c r="E1171" t="s">
        <v>47</v>
      </c>
      <c r="F1171" t="s">
        <v>24</v>
      </c>
      <c r="G1171" t="s">
        <v>31</v>
      </c>
      <c r="H1171" s="5">
        <v>5632</v>
      </c>
      <c r="I1171">
        <v>20</v>
      </c>
      <c r="J1171" s="5">
        <v>2358</v>
      </c>
    </row>
    <row r="1172" spans="1:10" x14ac:dyDescent="0.35">
      <c r="A1172" s="1">
        <v>45697</v>
      </c>
      <c r="B1172" s="2">
        <f>YEAR(Sales_Dataset[[#This Row],[Order Date]])</f>
        <v>2025</v>
      </c>
      <c r="C1172" s="2">
        <f>MONTH(Sales_Dataset[[#This Row],[Order Date]])</f>
        <v>2</v>
      </c>
      <c r="D1172" t="s">
        <v>382</v>
      </c>
      <c r="E1172" t="s">
        <v>9</v>
      </c>
      <c r="F1172" t="s">
        <v>18</v>
      </c>
      <c r="G1172" t="s">
        <v>30</v>
      </c>
      <c r="H1172" s="5">
        <v>3665</v>
      </c>
      <c r="I1172">
        <v>4</v>
      </c>
      <c r="J1172" s="5">
        <v>802</v>
      </c>
    </row>
    <row r="1173" spans="1:10" x14ac:dyDescent="0.35">
      <c r="A1173" s="1">
        <v>45699</v>
      </c>
      <c r="B1173" s="2">
        <f>YEAR(Sales_Dataset[[#This Row],[Order Date]])</f>
        <v>2025</v>
      </c>
      <c r="C1173" s="2">
        <f>MONTH(Sales_Dataset[[#This Row],[Order Date]])</f>
        <v>2</v>
      </c>
      <c r="D1173" t="s">
        <v>35</v>
      </c>
      <c r="E1173" t="s">
        <v>36</v>
      </c>
      <c r="F1173" t="s">
        <v>18</v>
      </c>
      <c r="G1173" t="s">
        <v>33</v>
      </c>
      <c r="H1173" s="5">
        <v>1629</v>
      </c>
      <c r="I1173">
        <v>1</v>
      </c>
      <c r="J1173" s="5">
        <v>265</v>
      </c>
    </row>
    <row r="1174" spans="1:10" x14ac:dyDescent="0.35">
      <c r="A1174" s="1">
        <v>45702</v>
      </c>
      <c r="B1174" s="2">
        <f>YEAR(Sales_Dataset[[#This Row],[Order Date]])</f>
        <v>2025</v>
      </c>
      <c r="C1174" s="2">
        <f>MONTH(Sales_Dataset[[#This Row],[Order Date]])</f>
        <v>2</v>
      </c>
      <c r="D1174" t="s">
        <v>710</v>
      </c>
      <c r="E1174" t="s">
        <v>22</v>
      </c>
      <c r="F1174" t="s">
        <v>10</v>
      </c>
      <c r="G1174" t="s">
        <v>41</v>
      </c>
      <c r="H1174" s="5">
        <v>7566</v>
      </c>
      <c r="I1174">
        <v>6</v>
      </c>
      <c r="J1174" s="5">
        <v>606</v>
      </c>
    </row>
    <row r="1175" spans="1:10" x14ac:dyDescent="0.35">
      <c r="A1175" s="1">
        <v>45704</v>
      </c>
      <c r="B1175" s="2">
        <f>YEAR(Sales_Dataset[[#This Row],[Order Date]])</f>
        <v>2025</v>
      </c>
      <c r="C1175" s="2">
        <f>MONTH(Sales_Dataset[[#This Row],[Order Date]])</f>
        <v>2</v>
      </c>
      <c r="D1175" t="s">
        <v>458</v>
      </c>
      <c r="E1175" t="s">
        <v>36</v>
      </c>
      <c r="F1175" t="s">
        <v>10</v>
      </c>
      <c r="G1175" t="s">
        <v>23</v>
      </c>
      <c r="H1175" s="5">
        <v>1579</v>
      </c>
      <c r="I1175">
        <v>9</v>
      </c>
      <c r="J1175" s="5">
        <v>602</v>
      </c>
    </row>
    <row r="1176" spans="1:10" x14ac:dyDescent="0.35">
      <c r="A1176" s="1">
        <v>45704</v>
      </c>
      <c r="B1176" s="2">
        <f>YEAR(Sales_Dataset[[#This Row],[Order Date]])</f>
        <v>2025</v>
      </c>
      <c r="C1176" s="2">
        <f>MONTH(Sales_Dataset[[#This Row],[Order Date]])</f>
        <v>2</v>
      </c>
      <c r="D1176" t="s">
        <v>458</v>
      </c>
      <c r="E1176" t="s">
        <v>36</v>
      </c>
      <c r="F1176" t="s">
        <v>24</v>
      </c>
      <c r="G1176" t="s">
        <v>27</v>
      </c>
      <c r="H1176" s="5">
        <v>3760</v>
      </c>
      <c r="I1176">
        <v>19</v>
      </c>
      <c r="J1176" s="5">
        <v>1849</v>
      </c>
    </row>
    <row r="1177" spans="1:10" x14ac:dyDescent="0.35">
      <c r="A1177" s="1">
        <v>45706</v>
      </c>
      <c r="B1177" s="2">
        <f>YEAR(Sales_Dataset[[#This Row],[Order Date]])</f>
        <v>2025</v>
      </c>
      <c r="C1177" s="2">
        <f>MONTH(Sales_Dataset[[#This Row],[Order Date]])</f>
        <v>2</v>
      </c>
      <c r="D1177" t="s">
        <v>493</v>
      </c>
      <c r="E1177" t="s">
        <v>15</v>
      </c>
      <c r="F1177" t="s">
        <v>18</v>
      </c>
      <c r="G1177" t="s">
        <v>33</v>
      </c>
      <c r="H1177" s="5">
        <v>5344</v>
      </c>
      <c r="I1177">
        <v>6</v>
      </c>
      <c r="J1177" s="5">
        <v>2607</v>
      </c>
    </row>
    <row r="1178" spans="1:10" x14ac:dyDescent="0.35">
      <c r="A1178" s="1">
        <v>45707</v>
      </c>
      <c r="B1178" s="2">
        <f>YEAR(Sales_Dataset[[#This Row],[Order Date]])</f>
        <v>2025</v>
      </c>
      <c r="C1178" s="2">
        <f>MONTH(Sales_Dataset[[#This Row],[Order Date]])</f>
        <v>2</v>
      </c>
      <c r="D1178" t="s">
        <v>167</v>
      </c>
      <c r="E1178" t="s">
        <v>9</v>
      </c>
      <c r="F1178" t="s">
        <v>10</v>
      </c>
      <c r="G1178" t="s">
        <v>11</v>
      </c>
      <c r="H1178" s="5">
        <v>6962</v>
      </c>
      <c r="I1178">
        <v>12</v>
      </c>
      <c r="J1178" s="5">
        <v>3429</v>
      </c>
    </row>
    <row r="1179" spans="1:10" x14ac:dyDescent="0.35">
      <c r="A1179" s="1">
        <v>45708</v>
      </c>
      <c r="B1179" s="2">
        <f>YEAR(Sales_Dataset[[#This Row],[Order Date]])</f>
        <v>2025</v>
      </c>
      <c r="C1179" s="2">
        <f>MONTH(Sales_Dataset[[#This Row],[Order Date]])</f>
        <v>2</v>
      </c>
      <c r="D1179" t="s">
        <v>306</v>
      </c>
      <c r="E1179" t="s">
        <v>9</v>
      </c>
      <c r="F1179" t="s">
        <v>18</v>
      </c>
      <c r="G1179" t="s">
        <v>33</v>
      </c>
      <c r="H1179" s="5">
        <v>2140</v>
      </c>
      <c r="I1179">
        <v>4</v>
      </c>
      <c r="J1179" s="5">
        <v>970</v>
      </c>
    </row>
    <row r="1180" spans="1:10" x14ac:dyDescent="0.35">
      <c r="A1180" s="1">
        <v>45708</v>
      </c>
      <c r="B1180" s="2">
        <f>YEAR(Sales_Dataset[[#This Row],[Order Date]])</f>
        <v>2025</v>
      </c>
      <c r="C1180" s="2">
        <f>MONTH(Sales_Dataset[[#This Row],[Order Date]])</f>
        <v>2</v>
      </c>
      <c r="D1180" t="s">
        <v>306</v>
      </c>
      <c r="E1180" t="s">
        <v>9</v>
      </c>
      <c r="F1180" t="s">
        <v>10</v>
      </c>
      <c r="G1180" t="s">
        <v>23</v>
      </c>
      <c r="H1180" s="5">
        <v>2670</v>
      </c>
      <c r="I1180">
        <v>1</v>
      </c>
      <c r="J1180" s="5">
        <v>1026</v>
      </c>
    </row>
    <row r="1181" spans="1:10" x14ac:dyDescent="0.35">
      <c r="A1181" s="1">
        <v>45712</v>
      </c>
      <c r="B1181" s="2">
        <f>YEAR(Sales_Dataset[[#This Row],[Order Date]])</f>
        <v>2025</v>
      </c>
      <c r="C1181" s="2">
        <f>MONTH(Sales_Dataset[[#This Row],[Order Date]])</f>
        <v>2</v>
      </c>
      <c r="D1181" t="s">
        <v>478</v>
      </c>
      <c r="E1181" t="s">
        <v>15</v>
      </c>
      <c r="F1181" t="s">
        <v>10</v>
      </c>
      <c r="G1181" t="s">
        <v>23</v>
      </c>
      <c r="H1181" s="5">
        <v>6129</v>
      </c>
      <c r="I1181">
        <v>2</v>
      </c>
      <c r="J1181" s="5">
        <v>2976</v>
      </c>
    </row>
    <row r="1182" spans="1:10" x14ac:dyDescent="0.35">
      <c r="A1182" s="1">
        <v>45712</v>
      </c>
      <c r="B1182" s="2">
        <f>YEAR(Sales_Dataset[[#This Row],[Order Date]])</f>
        <v>2025</v>
      </c>
      <c r="C1182" s="2">
        <f>MONTH(Sales_Dataset[[#This Row],[Order Date]])</f>
        <v>2</v>
      </c>
      <c r="D1182" t="s">
        <v>478</v>
      </c>
      <c r="E1182" t="s">
        <v>15</v>
      </c>
      <c r="F1182" t="s">
        <v>24</v>
      </c>
      <c r="G1182" t="s">
        <v>51</v>
      </c>
      <c r="H1182" s="5">
        <v>4395</v>
      </c>
      <c r="I1182">
        <v>3</v>
      </c>
      <c r="J1182" s="5">
        <v>1663</v>
      </c>
    </row>
    <row r="1183" spans="1:10" x14ac:dyDescent="0.35">
      <c r="A1183" s="1">
        <v>45712</v>
      </c>
      <c r="B1183" s="2">
        <f>YEAR(Sales_Dataset[[#This Row],[Order Date]])</f>
        <v>2025</v>
      </c>
      <c r="C1183" s="2">
        <f>MONTH(Sales_Dataset[[#This Row],[Order Date]])</f>
        <v>2</v>
      </c>
      <c r="D1183" t="s">
        <v>726</v>
      </c>
      <c r="E1183" t="s">
        <v>47</v>
      </c>
      <c r="F1183" t="s">
        <v>18</v>
      </c>
      <c r="G1183" t="s">
        <v>39</v>
      </c>
      <c r="H1183" s="5">
        <v>9874</v>
      </c>
      <c r="I1183">
        <v>4</v>
      </c>
      <c r="J1183" s="5">
        <v>3895</v>
      </c>
    </row>
    <row r="1184" spans="1:10" x14ac:dyDescent="0.35">
      <c r="A1184" s="1">
        <v>45714</v>
      </c>
      <c r="B1184" s="2">
        <f>YEAR(Sales_Dataset[[#This Row],[Order Date]])</f>
        <v>2025</v>
      </c>
      <c r="C1184" s="2">
        <f>MONTH(Sales_Dataset[[#This Row],[Order Date]])</f>
        <v>2</v>
      </c>
      <c r="D1184" t="s">
        <v>510</v>
      </c>
      <c r="E1184" t="s">
        <v>47</v>
      </c>
      <c r="F1184" t="s">
        <v>24</v>
      </c>
      <c r="G1184" t="s">
        <v>51</v>
      </c>
      <c r="H1184" s="5">
        <v>5402</v>
      </c>
      <c r="I1184">
        <v>12</v>
      </c>
      <c r="J1184" s="5">
        <v>1666</v>
      </c>
    </row>
    <row r="1185" spans="1:10" x14ac:dyDescent="0.35">
      <c r="A1185" s="1">
        <v>45715</v>
      </c>
      <c r="B1185" s="2">
        <f>YEAR(Sales_Dataset[[#This Row],[Order Date]])</f>
        <v>2025</v>
      </c>
      <c r="C1185" s="2">
        <f>MONTH(Sales_Dataset[[#This Row],[Order Date]])</f>
        <v>2</v>
      </c>
      <c r="D1185" t="s">
        <v>706</v>
      </c>
      <c r="E1185" t="s">
        <v>47</v>
      </c>
      <c r="F1185" t="s">
        <v>10</v>
      </c>
      <c r="G1185" t="s">
        <v>11</v>
      </c>
      <c r="H1185" s="5">
        <v>4163</v>
      </c>
      <c r="I1185">
        <v>14</v>
      </c>
      <c r="J1185" s="5">
        <v>897</v>
      </c>
    </row>
    <row r="1186" spans="1:10" x14ac:dyDescent="0.35">
      <c r="A1186" s="1">
        <v>45717</v>
      </c>
      <c r="B1186" s="2">
        <f>YEAR(Sales_Dataset[[#This Row],[Order Date]])</f>
        <v>2025</v>
      </c>
      <c r="C1186" s="2">
        <f>MONTH(Sales_Dataset[[#This Row],[Order Date]])</f>
        <v>3</v>
      </c>
      <c r="D1186" t="s">
        <v>673</v>
      </c>
      <c r="E1186" t="s">
        <v>22</v>
      </c>
      <c r="F1186" t="s">
        <v>24</v>
      </c>
      <c r="G1186" t="s">
        <v>27</v>
      </c>
      <c r="H1186" s="5">
        <v>7895</v>
      </c>
      <c r="I1186">
        <v>1</v>
      </c>
      <c r="J1186" s="5">
        <v>1005</v>
      </c>
    </row>
    <row r="1187" spans="1:10" x14ac:dyDescent="0.35">
      <c r="A1187" s="1">
        <v>45717</v>
      </c>
      <c r="B1187" s="2">
        <f>YEAR(Sales_Dataset[[#This Row],[Order Date]])</f>
        <v>2025</v>
      </c>
      <c r="C1187" s="2">
        <f>MONTH(Sales_Dataset[[#This Row],[Order Date]])</f>
        <v>3</v>
      </c>
      <c r="D1187" t="s">
        <v>673</v>
      </c>
      <c r="E1187" t="s">
        <v>22</v>
      </c>
      <c r="F1187" t="s">
        <v>18</v>
      </c>
      <c r="G1187" t="s">
        <v>19</v>
      </c>
      <c r="H1187" s="5">
        <v>2740</v>
      </c>
      <c r="I1187">
        <v>8</v>
      </c>
      <c r="J1187" s="5">
        <v>558</v>
      </c>
    </row>
    <row r="1188" spans="1:10" x14ac:dyDescent="0.35">
      <c r="A1188" s="1">
        <v>45723</v>
      </c>
      <c r="B1188" s="2">
        <f>YEAR(Sales_Dataset[[#This Row],[Order Date]])</f>
        <v>2025</v>
      </c>
      <c r="C1188" s="2">
        <f>MONTH(Sales_Dataset[[#This Row],[Order Date]])</f>
        <v>3</v>
      </c>
      <c r="D1188" t="s">
        <v>308</v>
      </c>
      <c r="E1188" t="s">
        <v>13</v>
      </c>
      <c r="F1188" t="s">
        <v>10</v>
      </c>
      <c r="G1188" t="s">
        <v>23</v>
      </c>
      <c r="H1188" s="5">
        <v>1108</v>
      </c>
      <c r="I1188">
        <v>18</v>
      </c>
      <c r="J1188" s="5">
        <v>167</v>
      </c>
    </row>
    <row r="1189" spans="1:10" x14ac:dyDescent="0.35">
      <c r="A1189" s="1">
        <v>45723</v>
      </c>
      <c r="B1189" s="2">
        <f>YEAR(Sales_Dataset[[#This Row],[Order Date]])</f>
        <v>2025</v>
      </c>
      <c r="C1189" s="2">
        <f>MONTH(Sales_Dataset[[#This Row],[Order Date]])</f>
        <v>3</v>
      </c>
      <c r="D1189" t="s">
        <v>308</v>
      </c>
      <c r="E1189" t="s">
        <v>13</v>
      </c>
      <c r="F1189" t="s">
        <v>18</v>
      </c>
      <c r="G1189" t="s">
        <v>39</v>
      </c>
      <c r="H1189" s="5">
        <v>9776</v>
      </c>
      <c r="I1189">
        <v>9</v>
      </c>
      <c r="J1189" s="5">
        <v>3750</v>
      </c>
    </row>
    <row r="1190" spans="1:10" x14ac:dyDescent="0.35">
      <c r="A1190" s="1">
        <v>45723</v>
      </c>
      <c r="B1190" s="2">
        <f>YEAR(Sales_Dataset[[#This Row],[Order Date]])</f>
        <v>2025</v>
      </c>
      <c r="C1190" s="2">
        <f>MONTH(Sales_Dataset[[#This Row],[Order Date]])</f>
        <v>3</v>
      </c>
      <c r="D1190" t="s">
        <v>308</v>
      </c>
      <c r="E1190" t="s">
        <v>13</v>
      </c>
      <c r="F1190" t="s">
        <v>24</v>
      </c>
      <c r="G1190" t="s">
        <v>51</v>
      </c>
      <c r="H1190" s="5">
        <v>535</v>
      </c>
      <c r="I1190">
        <v>6</v>
      </c>
      <c r="J1190" s="5">
        <v>72</v>
      </c>
    </row>
    <row r="1191" spans="1:10" x14ac:dyDescent="0.35">
      <c r="A1191" s="1">
        <v>45724</v>
      </c>
      <c r="B1191" s="2">
        <f>YEAR(Sales_Dataset[[#This Row],[Order Date]])</f>
        <v>2025</v>
      </c>
      <c r="C1191" s="2">
        <f>MONTH(Sales_Dataset[[#This Row],[Order Date]])</f>
        <v>3</v>
      </c>
      <c r="D1191" t="s">
        <v>360</v>
      </c>
      <c r="E1191" t="s">
        <v>47</v>
      </c>
      <c r="F1191" t="s">
        <v>10</v>
      </c>
      <c r="G1191" t="s">
        <v>41</v>
      </c>
      <c r="H1191" s="5">
        <v>7900</v>
      </c>
      <c r="I1191">
        <v>4</v>
      </c>
      <c r="J1191" s="5">
        <v>482</v>
      </c>
    </row>
    <row r="1192" spans="1:10" x14ac:dyDescent="0.35">
      <c r="A1192" s="1">
        <v>45726</v>
      </c>
      <c r="B1192" s="2">
        <f>YEAR(Sales_Dataset[[#This Row],[Order Date]])</f>
        <v>2025</v>
      </c>
      <c r="C1192" s="2">
        <f>MONTH(Sales_Dataset[[#This Row],[Order Date]])</f>
        <v>3</v>
      </c>
      <c r="D1192" t="s">
        <v>71</v>
      </c>
      <c r="E1192" t="s">
        <v>15</v>
      </c>
      <c r="F1192" t="s">
        <v>10</v>
      </c>
      <c r="G1192" t="s">
        <v>41</v>
      </c>
      <c r="H1192" s="5">
        <v>2750</v>
      </c>
      <c r="I1192">
        <v>11</v>
      </c>
      <c r="J1192" s="5">
        <v>1239</v>
      </c>
    </row>
    <row r="1193" spans="1:10" x14ac:dyDescent="0.35">
      <c r="A1193" s="1">
        <v>45726</v>
      </c>
      <c r="B1193" s="2">
        <f>YEAR(Sales_Dataset[[#This Row],[Order Date]])</f>
        <v>2025</v>
      </c>
      <c r="C1193" s="2">
        <f>MONTH(Sales_Dataset[[#This Row],[Order Date]])</f>
        <v>3</v>
      </c>
      <c r="D1193" t="s">
        <v>71</v>
      </c>
      <c r="E1193" t="s">
        <v>15</v>
      </c>
      <c r="F1193" t="s">
        <v>18</v>
      </c>
      <c r="G1193" t="s">
        <v>19</v>
      </c>
      <c r="H1193" s="5">
        <v>8639</v>
      </c>
      <c r="I1193">
        <v>19</v>
      </c>
      <c r="J1193" s="5">
        <v>3104</v>
      </c>
    </row>
    <row r="1194" spans="1:10" x14ac:dyDescent="0.35">
      <c r="A1194" s="1">
        <v>45730</v>
      </c>
      <c r="B1194" s="2">
        <f>YEAR(Sales_Dataset[[#This Row],[Order Date]])</f>
        <v>2025</v>
      </c>
      <c r="C1194" s="2">
        <f>MONTH(Sales_Dataset[[#This Row],[Order Date]])</f>
        <v>3</v>
      </c>
      <c r="D1194" t="s">
        <v>265</v>
      </c>
      <c r="E1194" t="s">
        <v>9</v>
      </c>
      <c r="F1194" t="s">
        <v>18</v>
      </c>
      <c r="G1194" t="s">
        <v>33</v>
      </c>
      <c r="H1194" s="5">
        <v>9845</v>
      </c>
      <c r="I1194">
        <v>9</v>
      </c>
      <c r="J1194" s="5">
        <v>3062</v>
      </c>
    </row>
    <row r="1195" spans="1:10" x14ac:dyDescent="0.35">
      <c r="A1195" s="1">
        <v>45731</v>
      </c>
      <c r="B1195" s="2">
        <f>YEAR(Sales_Dataset[[#This Row],[Order Date]])</f>
        <v>2025</v>
      </c>
      <c r="C1195" s="2">
        <f>MONTH(Sales_Dataset[[#This Row],[Order Date]])</f>
        <v>3</v>
      </c>
      <c r="D1195" t="s">
        <v>596</v>
      </c>
      <c r="E1195" t="s">
        <v>9</v>
      </c>
      <c r="F1195" t="s">
        <v>10</v>
      </c>
      <c r="G1195" t="s">
        <v>11</v>
      </c>
      <c r="H1195" s="5">
        <v>1010</v>
      </c>
      <c r="I1195">
        <v>19</v>
      </c>
      <c r="J1195" s="5">
        <v>58</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ED2C-3FAA-426B-9232-61646A09748C}">
  <dimension ref="A1:E807"/>
  <sheetViews>
    <sheetView workbookViewId="0">
      <selection activeCell="E4" sqref="E4"/>
    </sheetView>
  </sheetViews>
  <sheetFormatPr defaultRowHeight="14.5" x14ac:dyDescent="0.35"/>
  <cols>
    <col min="1" max="1" width="14.81640625" customWidth="1"/>
    <col min="2" max="2" width="20.1796875" customWidth="1"/>
    <col min="4" max="4" width="12.453125" bestFit="1" customWidth="1"/>
    <col min="5" max="5" width="21.6328125" bestFit="1" customWidth="1"/>
  </cols>
  <sheetData>
    <row r="1" spans="1:5" x14ac:dyDescent="0.35">
      <c r="A1" t="s">
        <v>831</v>
      </c>
      <c r="B1" t="s">
        <v>1</v>
      </c>
    </row>
    <row r="2" spans="1:5" x14ac:dyDescent="0.35">
      <c r="A2" s="2">
        <f>YEAR(Sales_Dataset[[#This Row],[Order Date]])</f>
        <v>2020</v>
      </c>
      <c r="B2" t="s">
        <v>820</v>
      </c>
    </row>
    <row r="3" spans="1:5" x14ac:dyDescent="0.35">
      <c r="A3" s="2">
        <f>YEAR(Sales_Dataset[[#This Row],[Order Date]])</f>
        <v>2020</v>
      </c>
      <c r="B3" t="s">
        <v>28</v>
      </c>
      <c r="D3" s="3" t="s">
        <v>833</v>
      </c>
      <c r="E3" t="s">
        <v>838</v>
      </c>
    </row>
    <row r="4" spans="1:5" x14ac:dyDescent="0.35">
      <c r="A4" s="2">
        <f>YEAR(Sales_Dataset[[#This Row],[Order Date]])</f>
        <v>2020</v>
      </c>
      <c r="B4" t="s">
        <v>199</v>
      </c>
      <c r="D4" s="4">
        <v>2020</v>
      </c>
      <c r="E4">
        <v>171</v>
      </c>
    </row>
    <row r="5" spans="1:5" x14ac:dyDescent="0.35">
      <c r="A5" s="2">
        <f>YEAR(Sales_Dataset[[#This Row],[Order Date]])</f>
        <v>2020</v>
      </c>
      <c r="B5" t="s">
        <v>182</v>
      </c>
      <c r="D5" s="4">
        <v>2021</v>
      </c>
      <c r="E5">
        <v>217</v>
      </c>
    </row>
    <row r="6" spans="1:5" x14ac:dyDescent="0.35">
      <c r="A6" s="2">
        <f>YEAR(Sales_Dataset[[#This Row],[Order Date]])</f>
        <v>2020</v>
      </c>
      <c r="B6" t="s">
        <v>286</v>
      </c>
      <c r="D6" s="4">
        <v>2022</v>
      </c>
      <c r="E6">
        <v>288</v>
      </c>
    </row>
    <row r="7" spans="1:5" x14ac:dyDescent="0.35">
      <c r="A7" s="2">
        <f>YEAR(Sales_Dataset[[#This Row],[Order Date]])</f>
        <v>2020</v>
      </c>
      <c r="B7" t="s">
        <v>778</v>
      </c>
      <c r="D7" s="4">
        <v>2023</v>
      </c>
      <c r="E7">
        <v>130</v>
      </c>
    </row>
    <row r="8" spans="1:5" x14ac:dyDescent="0.35">
      <c r="A8" s="2">
        <f>YEAR(Sales_Dataset[[#This Row],[Order Date]])</f>
        <v>2020</v>
      </c>
      <c r="B8" t="s">
        <v>190</v>
      </c>
    </row>
    <row r="9" spans="1:5" x14ac:dyDescent="0.35">
      <c r="A9" s="2">
        <f>YEAR(Sales_Dataset[[#This Row],[Order Date]])</f>
        <v>2020</v>
      </c>
      <c r="B9" t="s">
        <v>402</v>
      </c>
    </row>
    <row r="10" spans="1:5" x14ac:dyDescent="0.35">
      <c r="A10" s="2">
        <f>YEAR(Sales_Dataset[[#This Row],[Order Date]])</f>
        <v>2020</v>
      </c>
      <c r="B10" t="s">
        <v>73</v>
      </c>
    </row>
    <row r="11" spans="1:5" x14ac:dyDescent="0.35">
      <c r="A11" s="2">
        <f>YEAR(Sales_Dataset[[#This Row],[Order Date]])</f>
        <v>2020</v>
      </c>
      <c r="B11" t="s">
        <v>605</v>
      </c>
    </row>
    <row r="12" spans="1:5" x14ac:dyDescent="0.35">
      <c r="A12" s="2">
        <f>YEAR(Sales_Dataset[[#This Row],[Order Date]])</f>
        <v>2020</v>
      </c>
      <c r="B12" t="s">
        <v>525</v>
      </c>
    </row>
    <row r="13" spans="1:5" x14ac:dyDescent="0.35">
      <c r="A13" s="2">
        <f>YEAR(Sales_Dataset[[#This Row],[Order Date]])</f>
        <v>2020</v>
      </c>
      <c r="B13" t="s">
        <v>796</v>
      </c>
    </row>
    <row r="14" spans="1:5" x14ac:dyDescent="0.35">
      <c r="A14" s="2">
        <f>YEAR(Sales_Dataset[[#This Row],[Order Date]])</f>
        <v>2020</v>
      </c>
      <c r="B14" t="s">
        <v>794</v>
      </c>
    </row>
    <row r="15" spans="1:5" x14ac:dyDescent="0.35">
      <c r="A15" s="2">
        <f>YEAR(Sales_Dataset[[#This Row],[Order Date]])</f>
        <v>2020</v>
      </c>
      <c r="B15" t="s">
        <v>565</v>
      </c>
    </row>
    <row r="16" spans="1:5" x14ac:dyDescent="0.35">
      <c r="A16" s="2">
        <f>YEAR(Sales_Dataset[[#This Row],[Order Date]])</f>
        <v>2020</v>
      </c>
      <c r="B16" t="s">
        <v>464</v>
      </c>
    </row>
    <row r="17" spans="1:2" x14ac:dyDescent="0.35">
      <c r="A17" s="2">
        <f>YEAR(Sales_Dataset[[#This Row],[Order Date]])</f>
        <v>2020</v>
      </c>
      <c r="B17" t="s">
        <v>681</v>
      </c>
    </row>
    <row r="18" spans="1:2" x14ac:dyDescent="0.35">
      <c r="A18" s="2">
        <f>YEAR(Sales_Dataset[[#This Row],[Order Date]])</f>
        <v>2020</v>
      </c>
      <c r="B18" t="s">
        <v>327</v>
      </c>
    </row>
    <row r="19" spans="1:2" x14ac:dyDescent="0.35">
      <c r="A19" s="2">
        <f>YEAR(Sales_Dataset[[#This Row],[Order Date]])</f>
        <v>2020</v>
      </c>
      <c r="B19" t="s">
        <v>344</v>
      </c>
    </row>
    <row r="20" spans="1:2" x14ac:dyDescent="0.35">
      <c r="A20" s="2">
        <f>YEAR(Sales_Dataset[[#This Row],[Order Date]])</f>
        <v>2020</v>
      </c>
      <c r="B20" t="s">
        <v>781</v>
      </c>
    </row>
    <row r="21" spans="1:2" x14ac:dyDescent="0.35">
      <c r="A21" s="2">
        <f>YEAR(Sales_Dataset[[#This Row],[Order Date]])</f>
        <v>2020</v>
      </c>
      <c r="B21" t="s">
        <v>260</v>
      </c>
    </row>
    <row r="22" spans="1:2" x14ac:dyDescent="0.35">
      <c r="A22" s="2">
        <f>YEAR(Sales_Dataset[[#This Row],[Order Date]])</f>
        <v>2020</v>
      </c>
      <c r="B22" t="s">
        <v>636</v>
      </c>
    </row>
    <row r="23" spans="1:2" x14ac:dyDescent="0.35">
      <c r="A23" s="2">
        <f>YEAR(Sales_Dataset[[#This Row],[Order Date]])</f>
        <v>2020</v>
      </c>
      <c r="B23" t="s">
        <v>29</v>
      </c>
    </row>
    <row r="24" spans="1:2" x14ac:dyDescent="0.35">
      <c r="A24" s="2">
        <f>YEAR(Sales_Dataset[[#This Row],[Order Date]])</f>
        <v>2020</v>
      </c>
      <c r="B24" t="s">
        <v>237</v>
      </c>
    </row>
    <row r="25" spans="1:2" x14ac:dyDescent="0.35">
      <c r="A25" s="2">
        <f>YEAR(Sales_Dataset[[#This Row],[Order Date]])</f>
        <v>2020</v>
      </c>
      <c r="B25" t="s">
        <v>639</v>
      </c>
    </row>
    <row r="26" spans="1:2" x14ac:dyDescent="0.35">
      <c r="A26" s="2">
        <f>YEAR(Sales_Dataset[[#This Row],[Order Date]])</f>
        <v>2020</v>
      </c>
      <c r="B26" t="s">
        <v>783</v>
      </c>
    </row>
    <row r="27" spans="1:2" x14ac:dyDescent="0.35">
      <c r="A27" s="2">
        <f>YEAR(Sales_Dataset[[#This Row],[Order Date]])</f>
        <v>2020</v>
      </c>
      <c r="B27" t="s">
        <v>731</v>
      </c>
    </row>
    <row r="28" spans="1:2" x14ac:dyDescent="0.35">
      <c r="A28" s="2">
        <f>YEAR(Sales_Dataset[[#This Row],[Order Date]])</f>
        <v>2020</v>
      </c>
      <c r="B28" t="s">
        <v>418</v>
      </c>
    </row>
    <row r="29" spans="1:2" x14ac:dyDescent="0.35">
      <c r="A29" s="2">
        <f>YEAR(Sales_Dataset[[#This Row],[Order Date]])</f>
        <v>2020</v>
      </c>
      <c r="B29" t="s">
        <v>120</v>
      </c>
    </row>
    <row r="30" spans="1:2" x14ac:dyDescent="0.35">
      <c r="A30" s="2">
        <f>YEAR(Sales_Dataset[[#This Row],[Order Date]])</f>
        <v>2020</v>
      </c>
      <c r="B30" t="s">
        <v>89</v>
      </c>
    </row>
    <row r="31" spans="1:2" x14ac:dyDescent="0.35">
      <c r="A31" s="2">
        <f>YEAR(Sales_Dataset[[#This Row],[Order Date]])</f>
        <v>2020</v>
      </c>
      <c r="B31" t="s">
        <v>178</v>
      </c>
    </row>
    <row r="32" spans="1:2" x14ac:dyDescent="0.35">
      <c r="A32" s="2">
        <f>YEAR(Sales_Dataset[[#This Row],[Order Date]])</f>
        <v>2020</v>
      </c>
      <c r="B32" t="s">
        <v>524</v>
      </c>
    </row>
    <row r="33" spans="1:2" x14ac:dyDescent="0.35">
      <c r="A33" s="2">
        <f>YEAR(Sales_Dataset[[#This Row],[Order Date]])</f>
        <v>2020</v>
      </c>
      <c r="B33" t="s">
        <v>457</v>
      </c>
    </row>
    <row r="34" spans="1:2" x14ac:dyDescent="0.35">
      <c r="A34" s="2">
        <f>YEAR(Sales_Dataset[[#This Row],[Order Date]])</f>
        <v>2020</v>
      </c>
      <c r="B34" t="s">
        <v>539</v>
      </c>
    </row>
    <row r="35" spans="1:2" x14ac:dyDescent="0.35">
      <c r="A35" s="2">
        <f>YEAR(Sales_Dataset[[#This Row],[Order Date]])</f>
        <v>2020</v>
      </c>
      <c r="B35" t="s">
        <v>827</v>
      </c>
    </row>
    <row r="36" spans="1:2" x14ac:dyDescent="0.35">
      <c r="A36" s="2">
        <f>YEAR(Sales_Dataset[[#This Row],[Order Date]])</f>
        <v>2020</v>
      </c>
      <c r="B36" t="s">
        <v>746</v>
      </c>
    </row>
    <row r="37" spans="1:2" x14ac:dyDescent="0.35">
      <c r="A37" s="2">
        <f>YEAR(Sales_Dataset[[#This Row],[Order Date]])</f>
        <v>2020</v>
      </c>
      <c r="B37" t="s">
        <v>217</v>
      </c>
    </row>
    <row r="38" spans="1:2" x14ac:dyDescent="0.35">
      <c r="A38" s="2">
        <f>YEAR(Sales_Dataset[[#This Row],[Order Date]])</f>
        <v>2020</v>
      </c>
      <c r="B38" t="s">
        <v>152</v>
      </c>
    </row>
    <row r="39" spans="1:2" x14ac:dyDescent="0.35">
      <c r="A39" s="2">
        <f>YEAR(Sales_Dataset[[#This Row],[Order Date]])</f>
        <v>2020</v>
      </c>
      <c r="B39" t="s">
        <v>371</v>
      </c>
    </row>
    <row r="40" spans="1:2" x14ac:dyDescent="0.35">
      <c r="A40" s="2">
        <f>YEAR(Sales_Dataset[[#This Row],[Order Date]])</f>
        <v>2020</v>
      </c>
      <c r="B40" t="s">
        <v>593</v>
      </c>
    </row>
    <row r="41" spans="1:2" x14ac:dyDescent="0.35">
      <c r="A41" s="2">
        <f>YEAR(Sales_Dataset[[#This Row],[Order Date]])</f>
        <v>2020</v>
      </c>
      <c r="B41" t="s">
        <v>255</v>
      </c>
    </row>
    <row r="42" spans="1:2" x14ac:dyDescent="0.35">
      <c r="A42" s="2">
        <f>YEAR(Sales_Dataset[[#This Row],[Order Date]])</f>
        <v>2020</v>
      </c>
      <c r="B42" t="s">
        <v>755</v>
      </c>
    </row>
    <row r="43" spans="1:2" x14ac:dyDescent="0.35">
      <c r="A43" s="2">
        <f>YEAR(Sales_Dataset[[#This Row],[Order Date]])</f>
        <v>2020</v>
      </c>
      <c r="B43" t="s">
        <v>467</v>
      </c>
    </row>
    <row r="44" spans="1:2" x14ac:dyDescent="0.35">
      <c r="A44" s="2">
        <f>YEAR(Sales_Dataset[[#This Row],[Order Date]])</f>
        <v>2020</v>
      </c>
      <c r="B44" t="s">
        <v>606</v>
      </c>
    </row>
    <row r="45" spans="1:2" x14ac:dyDescent="0.35">
      <c r="A45" s="2">
        <f>YEAR(Sales_Dataset[[#This Row],[Order Date]])</f>
        <v>2020</v>
      </c>
      <c r="B45" t="s">
        <v>378</v>
      </c>
    </row>
    <row r="46" spans="1:2" x14ac:dyDescent="0.35">
      <c r="A46" s="2">
        <f>YEAR(Sales_Dataset[[#This Row],[Order Date]])</f>
        <v>2020</v>
      </c>
      <c r="B46" t="s">
        <v>703</v>
      </c>
    </row>
    <row r="47" spans="1:2" x14ac:dyDescent="0.35">
      <c r="A47" s="2">
        <f>YEAR(Sales_Dataset[[#This Row],[Order Date]])</f>
        <v>2020</v>
      </c>
      <c r="B47" t="s">
        <v>234</v>
      </c>
    </row>
    <row r="48" spans="1:2" x14ac:dyDescent="0.35">
      <c r="A48" s="2">
        <f>YEAR(Sales_Dataset[[#This Row],[Order Date]])</f>
        <v>2020</v>
      </c>
      <c r="B48" t="s">
        <v>645</v>
      </c>
    </row>
    <row r="49" spans="1:2" x14ac:dyDescent="0.35">
      <c r="A49" s="2">
        <f>YEAR(Sales_Dataset[[#This Row],[Order Date]])</f>
        <v>2020</v>
      </c>
      <c r="B49" t="s">
        <v>532</v>
      </c>
    </row>
    <row r="50" spans="1:2" x14ac:dyDescent="0.35">
      <c r="A50" s="2">
        <f>YEAR(Sales_Dataset[[#This Row],[Order Date]])</f>
        <v>2020</v>
      </c>
      <c r="B50" t="s">
        <v>259</v>
      </c>
    </row>
    <row r="51" spans="1:2" x14ac:dyDescent="0.35">
      <c r="A51" s="2">
        <f>YEAR(Sales_Dataset[[#This Row],[Order Date]])</f>
        <v>2020</v>
      </c>
      <c r="B51" t="s">
        <v>235</v>
      </c>
    </row>
    <row r="52" spans="1:2" x14ac:dyDescent="0.35">
      <c r="A52" s="2">
        <f>YEAR(Sales_Dataset[[#This Row],[Order Date]])</f>
        <v>2020</v>
      </c>
      <c r="B52" t="s">
        <v>748</v>
      </c>
    </row>
    <row r="53" spans="1:2" x14ac:dyDescent="0.35">
      <c r="A53" s="2">
        <f>YEAR(Sales_Dataset[[#This Row],[Order Date]])</f>
        <v>2020</v>
      </c>
      <c r="B53" t="s">
        <v>829</v>
      </c>
    </row>
    <row r="54" spans="1:2" x14ac:dyDescent="0.35">
      <c r="A54" s="2">
        <f>YEAR(Sales_Dataset[[#This Row],[Order Date]])</f>
        <v>2020</v>
      </c>
      <c r="B54" t="s">
        <v>821</v>
      </c>
    </row>
    <row r="55" spans="1:2" x14ac:dyDescent="0.35">
      <c r="A55" s="2">
        <f>YEAR(Sales_Dataset[[#This Row],[Order Date]])</f>
        <v>2020</v>
      </c>
      <c r="B55" t="s">
        <v>530</v>
      </c>
    </row>
    <row r="56" spans="1:2" x14ac:dyDescent="0.35">
      <c r="A56" s="2">
        <f>YEAR(Sales_Dataset[[#This Row],[Order Date]])</f>
        <v>2020</v>
      </c>
      <c r="B56" t="s">
        <v>780</v>
      </c>
    </row>
    <row r="57" spans="1:2" x14ac:dyDescent="0.35">
      <c r="A57" s="2">
        <f>YEAR(Sales_Dataset[[#This Row],[Order Date]])</f>
        <v>2020</v>
      </c>
      <c r="B57" t="s">
        <v>656</v>
      </c>
    </row>
    <row r="58" spans="1:2" x14ac:dyDescent="0.35">
      <c r="A58" s="2">
        <f>YEAR(Sales_Dataset[[#This Row],[Order Date]])</f>
        <v>2020</v>
      </c>
      <c r="B58" t="s">
        <v>204</v>
      </c>
    </row>
    <row r="59" spans="1:2" x14ac:dyDescent="0.35">
      <c r="A59" s="2">
        <f>YEAR(Sales_Dataset[[#This Row],[Order Date]])</f>
        <v>2020</v>
      </c>
      <c r="B59" t="s">
        <v>83</v>
      </c>
    </row>
    <row r="60" spans="1:2" x14ac:dyDescent="0.35">
      <c r="A60" s="2">
        <f>YEAR(Sales_Dataset[[#This Row],[Order Date]])</f>
        <v>2020</v>
      </c>
      <c r="B60" t="s">
        <v>293</v>
      </c>
    </row>
    <row r="61" spans="1:2" x14ac:dyDescent="0.35">
      <c r="A61" s="2">
        <f>YEAR(Sales_Dataset[[#This Row],[Order Date]])</f>
        <v>2020</v>
      </c>
      <c r="B61" t="s">
        <v>133</v>
      </c>
    </row>
    <row r="62" spans="1:2" x14ac:dyDescent="0.35">
      <c r="A62" s="2">
        <f>YEAR(Sales_Dataset[[#This Row],[Order Date]])</f>
        <v>2020</v>
      </c>
      <c r="B62" t="s">
        <v>611</v>
      </c>
    </row>
    <row r="63" spans="1:2" x14ac:dyDescent="0.35">
      <c r="A63" s="2">
        <f>YEAR(Sales_Dataset[[#This Row],[Order Date]])</f>
        <v>2020</v>
      </c>
      <c r="B63" t="s">
        <v>252</v>
      </c>
    </row>
    <row r="64" spans="1:2" x14ac:dyDescent="0.35">
      <c r="A64" s="2">
        <f>YEAR(Sales_Dataset[[#This Row],[Order Date]])</f>
        <v>2020</v>
      </c>
      <c r="B64" t="s">
        <v>194</v>
      </c>
    </row>
    <row r="65" spans="1:2" x14ac:dyDescent="0.35">
      <c r="A65" s="2">
        <f>YEAR(Sales_Dataset[[#This Row],[Order Date]])</f>
        <v>2020</v>
      </c>
      <c r="B65" t="s">
        <v>578</v>
      </c>
    </row>
    <row r="66" spans="1:2" x14ac:dyDescent="0.35">
      <c r="A66" s="2">
        <f>YEAR(Sales_Dataset[[#This Row],[Order Date]])</f>
        <v>2020</v>
      </c>
      <c r="B66" t="s">
        <v>246</v>
      </c>
    </row>
    <row r="67" spans="1:2" x14ac:dyDescent="0.35">
      <c r="A67" s="2">
        <f>YEAR(Sales_Dataset[[#This Row],[Order Date]])</f>
        <v>2020</v>
      </c>
      <c r="B67" t="s">
        <v>522</v>
      </c>
    </row>
    <row r="68" spans="1:2" x14ac:dyDescent="0.35">
      <c r="A68" s="2">
        <f>YEAR(Sales_Dataset[[#This Row],[Order Date]])</f>
        <v>2020</v>
      </c>
      <c r="B68" t="s">
        <v>547</v>
      </c>
    </row>
    <row r="69" spans="1:2" x14ac:dyDescent="0.35">
      <c r="A69" s="2">
        <f>YEAR(Sales_Dataset[[#This Row],[Order Date]])</f>
        <v>2020</v>
      </c>
      <c r="B69" t="s">
        <v>661</v>
      </c>
    </row>
    <row r="70" spans="1:2" x14ac:dyDescent="0.35">
      <c r="A70" s="2">
        <f>YEAR(Sales_Dataset[[#This Row],[Order Date]])</f>
        <v>2020</v>
      </c>
      <c r="B70" t="s">
        <v>644</v>
      </c>
    </row>
    <row r="71" spans="1:2" x14ac:dyDescent="0.35">
      <c r="A71" s="2">
        <f>YEAR(Sales_Dataset[[#This Row],[Order Date]])</f>
        <v>2020</v>
      </c>
      <c r="B71" t="s">
        <v>337</v>
      </c>
    </row>
    <row r="72" spans="1:2" x14ac:dyDescent="0.35">
      <c r="A72" s="2">
        <f>YEAR(Sales_Dataset[[#This Row],[Order Date]])</f>
        <v>2020</v>
      </c>
      <c r="B72" t="s">
        <v>215</v>
      </c>
    </row>
    <row r="73" spans="1:2" x14ac:dyDescent="0.35">
      <c r="A73" s="2">
        <f>YEAR(Sales_Dataset[[#This Row],[Order Date]])</f>
        <v>2020</v>
      </c>
      <c r="B73" t="s">
        <v>599</v>
      </c>
    </row>
    <row r="74" spans="1:2" x14ac:dyDescent="0.35">
      <c r="A74" s="2">
        <f>YEAR(Sales_Dataset[[#This Row],[Order Date]])</f>
        <v>2020</v>
      </c>
      <c r="B74" t="s">
        <v>759</v>
      </c>
    </row>
    <row r="75" spans="1:2" x14ac:dyDescent="0.35">
      <c r="A75" s="2">
        <f>YEAR(Sales_Dataset[[#This Row],[Order Date]])</f>
        <v>2020</v>
      </c>
      <c r="B75" t="s">
        <v>195</v>
      </c>
    </row>
    <row r="76" spans="1:2" x14ac:dyDescent="0.35">
      <c r="A76" s="2">
        <f>YEAR(Sales_Dataset[[#This Row],[Order Date]])</f>
        <v>2020</v>
      </c>
      <c r="B76" t="s">
        <v>513</v>
      </c>
    </row>
    <row r="77" spans="1:2" x14ac:dyDescent="0.35">
      <c r="A77" s="2">
        <f>YEAR(Sales_Dataset[[#This Row],[Order Date]])</f>
        <v>2020</v>
      </c>
      <c r="B77" t="s">
        <v>262</v>
      </c>
    </row>
    <row r="78" spans="1:2" x14ac:dyDescent="0.35">
      <c r="A78" s="2">
        <f>YEAR(Sales_Dataset[[#This Row],[Order Date]])</f>
        <v>2020</v>
      </c>
      <c r="B78" t="s">
        <v>305</v>
      </c>
    </row>
    <row r="79" spans="1:2" x14ac:dyDescent="0.35">
      <c r="A79" s="2">
        <f>YEAR(Sales_Dataset[[#This Row],[Order Date]])</f>
        <v>2020</v>
      </c>
      <c r="B79" t="s">
        <v>542</v>
      </c>
    </row>
    <row r="80" spans="1:2" x14ac:dyDescent="0.35">
      <c r="A80" s="2">
        <f>YEAR(Sales_Dataset[[#This Row],[Order Date]])</f>
        <v>2020</v>
      </c>
      <c r="B80" t="s">
        <v>254</v>
      </c>
    </row>
    <row r="81" spans="1:2" x14ac:dyDescent="0.35">
      <c r="A81" s="2">
        <f>YEAR(Sales_Dataset[[#This Row],[Order Date]])</f>
        <v>2020</v>
      </c>
      <c r="B81" t="s">
        <v>453</v>
      </c>
    </row>
    <row r="82" spans="1:2" x14ac:dyDescent="0.35">
      <c r="A82" s="2">
        <f>YEAR(Sales_Dataset[[#This Row],[Order Date]])</f>
        <v>2020</v>
      </c>
      <c r="B82" t="s">
        <v>302</v>
      </c>
    </row>
    <row r="83" spans="1:2" x14ac:dyDescent="0.35">
      <c r="A83" s="2">
        <f>YEAR(Sales_Dataset[[#This Row],[Order Date]])</f>
        <v>2020</v>
      </c>
      <c r="B83" t="s">
        <v>712</v>
      </c>
    </row>
    <row r="84" spans="1:2" x14ac:dyDescent="0.35">
      <c r="A84" s="2">
        <f>YEAR(Sales_Dataset[[#This Row],[Order Date]])</f>
        <v>2020</v>
      </c>
      <c r="B84" t="s">
        <v>749</v>
      </c>
    </row>
    <row r="85" spans="1:2" x14ac:dyDescent="0.35">
      <c r="A85" s="2">
        <f>YEAR(Sales_Dataset[[#This Row],[Order Date]])</f>
        <v>2020</v>
      </c>
      <c r="B85" t="s">
        <v>55</v>
      </c>
    </row>
    <row r="86" spans="1:2" x14ac:dyDescent="0.35">
      <c r="A86" s="2">
        <f>YEAR(Sales_Dataset[[#This Row],[Order Date]])</f>
        <v>2020</v>
      </c>
      <c r="B86" t="s">
        <v>127</v>
      </c>
    </row>
    <row r="87" spans="1:2" x14ac:dyDescent="0.35">
      <c r="A87" s="2">
        <f>YEAR(Sales_Dataset[[#This Row],[Order Date]])</f>
        <v>2020</v>
      </c>
      <c r="B87" t="s">
        <v>200</v>
      </c>
    </row>
    <row r="88" spans="1:2" x14ac:dyDescent="0.35">
      <c r="A88" s="2">
        <f>YEAR(Sales_Dataset[[#This Row],[Order Date]])</f>
        <v>2020</v>
      </c>
      <c r="B88" t="s">
        <v>350</v>
      </c>
    </row>
    <row r="89" spans="1:2" x14ac:dyDescent="0.35">
      <c r="A89" s="2">
        <f>YEAR(Sales_Dataset[[#This Row],[Order Date]])</f>
        <v>2020</v>
      </c>
      <c r="B89" t="s">
        <v>444</v>
      </c>
    </row>
    <row r="90" spans="1:2" x14ac:dyDescent="0.35">
      <c r="A90" s="2">
        <f>YEAR(Sales_Dataset[[#This Row],[Order Date]])</f>
        <v>2020</v>
      </c>
      <c r="B90" t="s">
        <v>446</v>
      </c>
    </row>
    <row r="91" spans="1:2" x14ac:dyDescent="0.35">
      <c r="A91" s="2">
        <f>YEAR(Sales_Dataset[[#This Row],[Order Date]])</f>
        <v>2020</v>
      </c>
      <c r="B91" t="s">
        <v>329</v>
      </c>
    </row>
    <row r="92" spans="1:2" x14ac:dyDescent="0.35">
      <c r="A92" s="2">
        <f>YEAR(Sales_Dataset[[#This Row],[Order Date]])</f>
        <v>2020</v>
      </c>
      <c r="B92" t="s">
        <v>372</v>
      </c>
    </row>
    <row r="93" spans="1:2" x14ac:dyDescent="0.35">
      <c r="A93" s="2">
        <f>YEAR(Sales_Dataset[[#This Row],[Order Date]])</f>
        <v>2020</v>
      </c>
      <c r="B93" t="s">
        <v>619</v>
      </c>
    </row>
    <row r="94" spans="1:2" x14ac:dyDescent="0.35">
      <c r="A94" s="2">
        <f>YEAR(Sales_Dataset[[#This Row],[Order Date]])</f>
        <v>2020</v>
      </c>
      <c r="B94" t="s">
        <v>243</v>
      </c>
    </row>
    <row r="95" spans="1:2" x14ac:dyDescent="0.35">
      <c r="A95" s="2">
        <f>YEAR(Sales_Dataset[[#This Row],[Order Date]])</f>
        <v>2020</v>
      </c>
      <c r="B95" t="s">
        <v>227</v>
      </c>
    </row>
    <row r="96" spans="1:2" x14ac:dyDescent="0.35">
      <c r="A96" s="2">
        <f>YEAR(Sales_Dataset[[#This Row],[Order Date]])</f>
        <v>2020</v>
      </c>
      <c r="B96" t="s">
        <v>470</v>
      </c>
    </row>
    <row r="97" spans="1:2" x14ac:dyDescent="0.35">
      <c r="A97" s="2">
        <f>YEAR(Sales_Dataset[[#This Row],[Order Date]])</f>
        <v>2020</v>
      </c>
      <c r="B97" t="s">
        <v>413</v>
      </c>
    </row>
    <row r="98" spans="1:2" x14ac:dyDescent="0.35">
      <c r="A98" s="2">
        <f>YEAR(Sales_Dataset[[#This Row],[Order Date]])</f>
        <v>2020</v>
      </c>
      <c r="B98" t="s">
        <v>536</v>
      </c>
    </row>
    <row r="99" spans="1:2" x14ac:dyDescent="0.35">
      <c r="A99" s="2">
        <f>YEAR(Sales_Dataset[[#This Row],[Order Date]])</f>
        <v>2020</v>
      </c>
      <c r="B99" t="s">
        <v>626</v>
      </c>
    </row>
    <row r="100" spans="1:2" x14ac:dyDescent="0.35">
      <c r="A100" s="2">
        <f>YEAR(Sales_Dataset[[#This Row],[Order Date]])</f>
        <v>2020</v>
      </c>
      <c r="B100" t="s">
        <v>64</v>
      </c>
    </row>
    <row r="101" spans="1:2" x14ac:dyDescent="0.35">
      <c r="A101" s="2">
        <f>YEAR(Sales_Dataset[[#This Row],[Order Date]])</f>
        <v>2020</v>
      </c>
      <c r="B101" t="s">
        <v>197</v>
      </c>
    </row>
    <row r="102" spans="1:2" x14ac:dyDescent="0.35">
      <c r="A102" s="2">
        <f>YEAR(Sales_Dataset[[#This Row],[Order Date]])</f>
        <v>2020</v>
      </c>
      <c r="B102" t="s">
        <v>310</v>
      </c>
    </row>
    <row r="103" spans="1:2" x14ac:dyDescent="0.35">
      <c r="A103" s="2">
        <f>YEAR(Sales_Dataset[[#This Row],[Order Date]])</f>
        <v>2020</v>
      </c>
      <c r="B103" t="s">
        <v>313</v>
      </c>
    </row>
    <row r="104" spans="1:2" x14ac:dyDescent="0.35">
      <c r="A104" s="2">
        <f>YEAR(Sales_Dataset[[#This Row],[Order Date]])</f>
        <v>2020</v>
      </c>
      <c r="B104" t="s">
        <v>733</v>
      </c>
    </row>
    <row r="105" spans="1:2" x14ac:dyDescent="0.35">
      <c r="A105" s="2">
        <f>YEAR(Sales_Dataset[[#This Row],[Order Date]])</f>
        <v>2020</v>
      </c>
      <c r="B105" t="s">
        <v>338</v>
      </c>
    </row>
    <row r="106" spans="1:2" x14ac:dyDescent="0.35">
      <c r="A106" s="2">
        <f>YEAR(Sales_Dataset[[#This Row],[Order Date]])</f>
        <v>2020</v>
      </c>
      <c r="B106" t="s">
        <v>38</v>
      </c>
    </row>
    <row r="107" spans="1:2" x14ac:dyDescent="0.35">
      <c r="A107" s="2">
        <f>YEAR(Sales_Dataset[[#This Row],[Order Date]])</f>
        <v>2020</v>
      </c>
      <c r="B107" t="s">
        <v>291</v>
      </c>
    </row>
    <row r="108" spans="1:2" x14ac:dyDescent="0.35">
      <c r="A108" s="2">
        <f>YEAR(Sales_Dataset[[#This Row],[Order Date]])</f>
        <v>2020</v>
      </c>
      <c r="B108" t="s">
        <v>440</v>
      </c>
    </row>
    <row r="109" spans="1:2" x14ac:dyDescent="0.35">
      <c r="A109" s="2">
        <f>YEAR(Sales_Dataset[[#This Row],[Order Date]])</f>
        <v>2020</v>
      </c>
      <c r="B109" t="s">
        <v>170</v>
      </c>
    </row>
    <row r="110" spans="1:2" x14ac:dyDescent="0.35">
      <c r="A110" s="2">
        <f>YEAR(Sales_Dataset[[#This Row],[Order Date]])</f>
        <v>2020</v>
      </c>
      <c r="B110" t="s">
        <v>196</v>
      </c>
    </row>
    <row r="111" spans="1:2" x14ac:dyDescent="0.35">
      <c r="A111" s="2">
        <f>YEAR(Sales_Dataset[[#This Row],[Order Date]])</f>
        <v>2020</v>
      </c>
      <c r="B111" t="s">
        <v>814</v>
      </c>
    </row>
    <row r="112" spans="1:2" x14ac:dyDescent="0.35">
      <c r="A112" s="2">
        <f>YEAR(Sales_Dataset[[#This Row],[Order Date]])</f>
        <v>2020</v>
      </c>
      <c r="B112" t="s">
        <v>345</v>
      </c>
    </row>
    <row r="113" spans="1:2" x14ac:dyDescent="0.35">
      <c r="A113" s="2">
        <f>YEAR(Sales_Dataset[[#This Row],[Order Date]])</f>
        <v>2020</v>
      </c>
      <c r="B113" t="s">
        <v>501</v>
      </c>
    </row>
    <row r="114" spans="1:2" x14ac:dyDescent="0.35">
      <c r="A114" s="2">
        <f>YEAR(Sales_Dataset[[#This Row],[Order Date]])</f>
        <v>2020</v>
      </c>
      <c r="B114" t="s">
        <v>595</v>
      </c>
    </row>
    <row r="115" spans="1:2" x14ac:dyDescent="0.35">
      <c r="A115" s="2">
        <f>YEAR(Sales_Dataset[[#This Row],[Order Date]])</f>
        <v>2020</v>
      </c>
      <c r="B115" t="s">
        <v>704</v>
      </c>
    </row>
    <row r="116" spans="1:2" x14ac:dyDescent="0.35">
      <c r="A116" s="2">
        <f>YEAR(Sales_Dataset[[#This Row],[Order Date]])</f>
        <v>2020</v>
      </c>
      <c r="B116" t="s">
        <v>138</v>
      </c>
    </row>
    <row r="117" spans="1:2" x14ac:dyDescent="0.35">
      <c r="A117" s="2">
        <f>YEAR(Sales_Dataset[[#This Row],[Order Date]])</f>
        <v>2020</v>
      </c>
      <c r="B117" t="s">
        <v>717</v>
      </c>
    </row>
    <row r="118" spans="1:2" x14ac:dyDescent="0.35">
      <c r="A118" s="2">
        <f>YEAR(Sales_Dataset[[#This Row],[Order Date]])</f>
        <v>2020</v>
      </c>
      <c r="B118" t="s">
        <v>562</v>
      </c>
    </row>
    <row r="119" spans="1:2" x14ac:dyDescent="0.35">
      <c r="A119" s="2">
        <f>YEAR(Sales_Dataset[[#This Row],[Order Date]])</f>
        <v>2020</v>
      </c>
      <c r="B119" t="s">
        <v>805</v>
      </c>
    </row>
    <row r="120" spans="1:2" x14ac:dyDescent="0.35">
      <c r="A120" s="2">
        <f>YEAR(Sales_Dataset[[#This Row],[Order Date]])</f>
        <v>2020</v>
      </c>
      <c r="B120" t="s">
        <v>690</v>
      </c>
    </row>
    <row r="121" spans="1:2" x14ac:dyDescent="0.35">
      <c r="A121" s="2">
        <f>YEAR(Sales_Dataset[[#This Row],[Order Date]])</f>
        <v>2020</v>
      </c>
      <c r="B121" t="s">
        <v>651</v>
      </c>
    </row>
    <row r="122" spans="1:2" x14ac:dyDescent="0.35">
      <c r="A122" s="2">
        <f>YEAR(Sales_Dataset[[#This Row],[Order Date]])</f>
        <v>2020</v>
      </c>
      <c r="B122" t="s">
        <v>156</v>
      </c>
    </row>
    <row r="123" spans="1:2" x14ac:dyDescent="0.35">
      <c r="A123" s="2">
        <f>YEAR(Sales_Dataset[[#This Row],[Order Date]])</f>
        <v>2020</v>
      </c>
      <c r="B123" t="s">
        <v>480</v>
      </c>
    </row>
    <row r="124" spans="1:2" x14ac:dyDescent="0.35">
      <c r="A124" s="2">
        <f>YEAR(Sales_Dataset[[#This Row],[Order Date]])</f>
        <v>2020</v>
      </c>
      <c r="B124" t="s">
        <v>677</v>
      </c>
    </row>
    <row r="125" spans="1:2" x14ac:dyDescent="0.35">
      <c r="A125" s="2">
        <f>YEAR(Sales_Dataset[[#This Row],[Order Date]])</f>
        <v>2020</v>
      </c>
      <c r="B125" t="s">
        <v>132</v>
      </c>
    </row>
    <row r="126" spans="1:2" x14ac:dyDescent="0.35">
      <c r="A126" s="2">
        <f>YEAR(Sales_Dataset[[#This Row],[Order Date]])</f>
        <v>2020</v>
      </c>
      <c r="B126" t="s">
        <v>420</v>
      </c>
    </row>
    <row r="127" spans="1:2" x14ac:dyDescent="0.35">
      <c r="A127" s="2">
        <f>YEAR(Sales_Dataset[[#This Row],[Order Date]])</f>
        <v>2020</v>
      </c>
      <c r="B127" t="s">
        <v>264</v>
      </c>
    </row>
    <row r="128" spans="1:2" x14ac:dyDescent="0.35">
      <c r="A128" s="2">
        <f>YEAR(Sales_Dataset[[#This Row],[Order Date]])</f>
        <v>2020</v>
      </c>
      <c r="B128" t="s">
        <v>141</v>
      </c>
    </row>
    <row r="129" spans="1:2" x14ac:dyDescent="0.35">
      <c r="A129" s="2">
        <f>YEAR(Sales_Dataset[[#This Row],[Order Date]])</f>
        <v>2020</v>
      </c>
      <c r="B129" t="s">
        <v>455</v>
      </c>
    </row>
    <row r="130" spans="1:2" x14ac:dyDescent="0.35">
      <c r="A130" s="2">
        <f>YEAR(Sales_Dataset[[#This Row],[Order Date]])</f>
        <v>2020</v>
      </c>
      <c r="B130" t="s">
        <v>226</v>
      </c>
    </row>
    <row r="131" spans="1:2" x14ac:dyDescent="0.35">
      <c r="A131" s="2">
        <f>YEAR(Sales_Dataset[[#This Row],[Order Date]])</f>
        <v>2020</v>
      </c>
      <c r="B131" t="s">
        <v>443</v>
      </c>
    </row>
    <row r="132" spans="1:2" x14ac:dyDescent="0.35">
      <c r="A132" s="2">
        <f>YEAR(Sales_Dataset[[#This Row],[Order Date]])</f>
        <v>2020</v>
      </c>
      <c r="B132" t="s">
        <v>322</v>
      </c>
    </row>
    <row r="133" spans="1:2" x14ac:dyDescent="0.35">
      <c r="A133" s="2">
        <f>YEAR(Sales_Dataset[[#This Row],[Order Date]])</f>
        <v>2020</v>
      </c>
      <c r="B133" t="s">
        <v>497</v>
      </c>
    </row>
    <row r="134" spans="1:2" x14ac:dyDescent="0.35">
      <c r="A134" s="2">
        <f>YEAR(Sales_Dataset[[#This Row],[Order Date]])</f>
        <v>2020</v>
      </c>
      <c r="B134" t="s">
        <v>352</v>
      </c>
    </row>
    <row r="135" spans="1:2" x14ac:dyDescent="0.35">
      <c r="A135" s="2">
        <f>YEAR(Sales_Dataset[[#This Row],[Order Date]])</f>
        <v>2020</v>
      </c>
      <c r="B135" t="s">
        <v>280</v>
      </c>
    </row>
    <row r="136" spans="1:2" x14ac:dyDescent="0.35">
      <c r="A136" s="2">
        <f>YEAR(Sales_Dataset[[#This Row],[Order Date]])</f>
        <v>2020</v>
      </c>
      <c r="B136" t="s">
        <v>744</v>
      </c>
    </row>
    <row r="137" spans="1:2" x14ac:dyDescent="0.35">
      <c r="A137" s="2">
        <f>YEAR(Sales_Dataset[[#This Row],[Order Date]])</f>
        <v>2020</v>
      </c>
      <c r="B137" t="s">
        <v>563</v>
      </c>
    </row>
    <row r="138" spans="1:2" x14ac:dyDescent="0.35">
      <c r="A138" s="2">
        <f>YEAR(Sales_Dataset[[#This Row],[Order Date]])</f>
        <v>2020</v>
      </c>
      <c r="B138" t="s">
        <v>824</v>
      </c>
    </row>
    <row r="139" spans="1:2" x14ac:dyDescent="0.35">
      <c r="A139" s="2">
        <f>YEAR(Sales_Dataset[[#This Row],[Order Date]])</f>
        <v>2020</v>
      </c>
      <c r="B139" t="s">
        <v>93</v>
      </c>
    </row>
    <row r="140" spans="1:2" x14ac:dyDescent="0.35">
      <c r="A140" s="2">
        <f>YEAR(Sales_Dataset[[#This Row],[Order Date]])</f>
        <v>2020</v>
      </c>
      <c r="B140" t="s">
        <v>771</v>
      </c>
    </row>
    <row r="141" spans="1:2" x14ac:dyDescent="0.35">
      <c r="A141" s="2">
        <f>YEAR(Sales_Dataset[[#This Row],[Order Date]])</f>
        <v>2020</v>
      </c>
      <c r="B141" t="s">
        <v>151</v>
      </c>
    </row>
    <row r="142" spans="1:2" x14ac:dyDescent="0.35">
      <c r="A142" s="2">
        <f>YEAR(Sales_Dataset[[#This Row],[Order Date]])</f>
        <v>2020</v>
      </c>
      <c r="B142" t="s">
        <v>479</v>
      </c>
    </row>
    <row r="143" spans="1:2" x14ac:dyDescent="0.35">
      <c r="A143" s="2">
        <f>YEAR(Sales_Dataset[[#This Row],[Order Date]])</f>
        <v>2020</v>
      </c>
      <c r="B143" t="s">
        <v>666</v>
      </c>
    </row>
    <row r="144" spans="1:2" x14ac:dyDescent="0.35">
      <c r="A144" s="2">
        <f>YEAR(Sales_Dataset[[#This Row],[Order Date]])</f>
        <v>2020</v>
      </c>
      <c r="B144" t="s">
        <v>534</v>
      </c>
    </row>
    <row r="145" spans="1:2" x14ac:dyDescent="0.35">
      <c r="A145" s="2">
        <f>YEAR(Sales_Dataset[[#This Row],[Order Date]])</f>
        <v>2020</v>
      </c>
      <c r="B145" t="s">
        <v>75</v>
      </c>
    </row>
    <row r="146" spans="1:2" x14ac:dyDescent="0.35">
      <c r="A146" s="2">
        <f>YEAR(Sales_Dataset[[#This Row],[Order Date]])</f>
        <v>2020</v>
      </c>
      <c r="B146" t="s">
        <v>94</v>
      </c>
    </row>
    <row r="147" spans="1:2" x14ac:dyDescent="0.35">
      <c r="A147" s="2">
        <f>YEAR(Sales_Dataset[[#This Row],[Order Date]])</f>
        <v>2020</v>
      </c>
      <c r="B147" t="s">
        <v>798</v>
      </c>
    </row>
    <row r="148" spans="1:2" x14ac:dyDescent="0.35">
      <c r="A148" s="2">
        <f>YEAR(Sales_Dataset[[#This Row],[Order Date]])</f>
        <v>2020</v>
      </c>
      <c r="B148" t="s">
        <v>149</v>
      </c>
    </row>
    <row r="149" spans="1:2" x14ac:dyDescent="0.35">
      <c r="A149" s="2">
        <f>YEAR(Sales_Dataset[[#This Row],[Order Date]])</f>
        <v>2020</v>
      </c>
      <c r="B149" t="s">
        <v>292</v>
      </c>
    </row>
    <row r="150" spans="1:2" x14ac:dyDescent="0.35">
      <c r="A150" s="2">
        <f>YEAR(Sales_Dataset[[#This Row],[Order Date]])</f>
        <v>2020</v>
      </c>
      <c r="B150" t="s">
        <v>155</v>
      </c>
    </row>
    <row r="151" spans="1:2" x14ac:dyDescent="0.35">
      <c r="A151" s="2">
        <f>YEAR(Sales_Dataset[[#This Row],[Order Date]])</f>
        <v>2020</v>
      </c>
      <c r="B151" t="s">
        <v>585</v>
      </c>
    </row>
    <row r="152" spans="1:2" x14ac:dyDescent="0.35">
      <c r="A152" s="2">
        <f>YEAR(Sales_Dataset[[#This Row],[Order Date]])</f>
        <v>2020</v>
      </c>
      <c r="B152" t="s">
        <v>694</v>
      </c>
    </row>
    <row r="153" spans="1:2" x14ac:dyDescent="0.35">
      <c r="A153" s="2">
        <f>YEAR(Sales_Dataset[[#This Row],[Order Date]])</f>
        <v>2020</v>
      </c>
      <c r="B153" t="s">
        <v>407</v>
      </c>
    </row>
    <row r="154" spans="1:2" x14ac:dyDescent="0.35">
      <c r="A154" s="2">
        <f>YEAR(Sales_Dataset[[#This Row],[Order Date]])</f>
        <v>2020</v>
      </c>
      <c r="B154" t="s">
        <v>803</v>
      </c>
    </row>
    <row r="155" spans="1:2" x14ac:dyDescent="0.35">
      <c r="A155" s="2">
        <f>YEAR(Sales_Dataset[[#This Row],[Order Date]])</f>
        <v>2020</v>
      </c>
      <c r="B155" t="s">
        <v>321</v>
      </c>
    </row>
    <row r="156" spans="1:2" x14ac:dyDescent="0.35">
      <c r="A156" s="2">
        <f>YEAR(Sales_Dataset[[#This Row],[Order Date]])</f>
        <v>2020</v>
      </c>
      <c r="B156" t="s">
        <v>44</v>
      </c>
    </row>
    <row r="157" spans="1:2" x14ac:dyDescent="0.35">
      <c r="A157" s="2">
        <f>YEAR(Sales_Dataset[[#This Row],[Order Date]])</f>
        <v>2020</v>
      </c>
      <c r="B157" t="s">
        <v>637</v>
      </c>
    </row>
    <row r="158" spans="1:2" x14ac:dyDescent="0.35">
      <c r="A158" s="2">
        <f>YEAR(Sales_Dataset[[#This Row],[Order Date]])</f>
        <v>2020</v>
      </c>
      <c r="B158" t="s">
        <v>630</v>
      </c>
    </row>
    <row r="159" spans="1:2" x14ac:dyDescent="0.35">
      <c r="A159" s="2">
        <f>YEAR(Sales_Dataset[[#This Row],[Order Date]])</f>
        <v>2020</v>
      </c>
      <c r="B159" t="s">
        <v>548</v>
      </c>
    </row>
    <row r="160" spans="1:2" x14ac:dyDescent="0.35">
      <c r="A160" s="2">
        <f>YEAR(Sales_Dataset[[#This Row],[Order Date]])</f>
        <v>2020</v>
      </c>
      <c r="B160" t="s">
        <v>186</v>
      </c>
    </row>
    <row r="161" spans="1:2" x14ac:dyDescent="0.35">
      <c r="A161" s="2">
        <f>YEAR(Sales_Dataset[[#This Row],[Order Date]])</f>
        <v>2020</v>
      </c>
      <c r="B161" t="s">
        <v>408</v>
      </c>
    </row>
    <row r="162" spans="1:2" x14ac:dyDescent="0.35">
      <c r="A162" s="2">
        <f>YEAR(Sales_Dataset[[#This Row],[Order Date]])</f>
        <v>2020</v>
      </c>
      <c r="B162" t="s">
        <v>379</v>
      </c>
    </row>
    <row r="163" spans="1:2" x14ac:dyDescent="0.35">
      <c r="A163" s="2">
        <f>YEAR(Sales_Dataset[[#This Row],[Order Date]])</f>
        <v>2020</v>
      </c>
      <c r="B163" t="s">
        <v>50</v>
      </c>
    </row>
    <row r="164" spans="1:2" x14ac:dyDescent="0.35">
      <c r="A164" s="2">
        <f>YEAR(Sales_Dataset[[#This Row],[Order Date]])</f>
        <v>2020</v>
      </c>
      <c r="B164" t="s">
        <v>174</v>
      </c>
    </row>
    <row r="165" spans="1:2" x14ac:dyDescent="0.35">
      <c r="A165" s="2">
        <f>YEAR(Sales_Dataset[[#This Row],[Order Date]])</f>
        <v>2020</v>
      </c>
      <c r="B165" t="s">
        <v>750</v>
      </c>
    </row>
    <row r="166" spans="1:2" x14ac:dyDescent="0.35">
      <c r="A166" s="2">
        <f>YEAR(Sales_Dataset[[#This Row],[Order Date]])</f>
        <v>2020</v>
      </c>
      <c r="B166" t="s">
        <v>550</v>
      </c>
    </row>
    <row r="167" spans="1:2" x14ac:dyDescent="0.35">
      <c r="A167" s="2">
        <f>YEAR(Sales_Dataset[[#This Row],[Order Date]])</f>
        <v>2020</v>
      </c>
      <c r="B167" t="s">
        <v>100</v>
      </c>
    </row>
    <row r="168" spans="1:2" x14ac:dyDescent="0.35">
      <c r="A168" s="2">
        <f>YEAR(Sales_Dataset[[#This Row],[Order Date]])</f>
        <v>2020</v>
      </c>
      <c r="B168" t="s">
        <v>816</v>
      </c>
    </row>
    <row r="169" spans="1:2" x14ac:dyDescent="0.35">
      <c r="A169" s="2">
        <f>YEAR(Sales_Dataset[[#This Row],[Order Date]])</f>
        <v>2020</v>
      </c>
      <c r="B169" t="s">
        <v>494</v>
      </c>
    </row>
    <row r="170" spans="1:2" x14ac:dyDescent="0.35">
      <c r="A170" s="2">
        <f>YEAR(Sales_Dataset[[#This Row],[Order Date]])</f>
        <v>2020</v>
      </c>
      <c r="B170" t="s">
        <v>598</v>
      </c>
    </row>
    <row r="171" spans="1:2" x14ac:dyDescent="0.35">
      <c r="A171" s="2">
        <f>YEAR(Sales_Dataset[[#This Row],[Order Date]])</f>
        <v>2020</v>
      </c>
      <c r="B171" t="s">
        <v>617</v>
      </c>
    </row>
    <row r="172" spans="1:2" x14ac:dyDescent="0.35">
      <c r="A172" s="2">
        <f>YEAR(Sales_Dataset[[#This Row],[Order Date]])</f>
        <v>2020</v>
      </c>
      <c r="B172" t="s">
        <v>144</v>
      </c>
    </row>
    <row r="173" spans="1:2" x14ac:dyDescent="0.35">
      <c r="A173" s="2">
        <f>YEAR(Sales_Dataset[[#This Row],[Order Date]])</f>
        <v>2021</v>
      </c>
      <c r="B173" t="s">
        <v>764</v>
      </c>
    </row>
    <row r="174" spans="1:2" x14ac:dyDescent="0.35">
      <c r="A174" s="2">
        <f>YEAR(Sales_Dataset[[#This Row],[Order Date]])</f>
        <v>2021</v>
      </c>
      <c r="B174" t="s">
        <v>662</v>
      </c>
    </row>
    <row r="175" spans="1:2" x14ac:dyDescent="0.35">
      <c r="A175" s="2">
        <f>YEAR(Sales_Dataset[[#This Row],[Order Date]])</f>
        <v>2021</v>
      </c>
      <c r="B175" t="s">
        <v>725</v>
      </c>
    </row>
    <row r="176" spans="1:2" x14ac:dyDescent="0.35">
      <c r="A176" s="2">
        <f>YEAR(Sales_Dataset[[#This Row],[Order Date]])</f>
        <v>2021</v>
      </c>
      <c r="B176" t="s">
        <v>282</v>
      </c>
    </row>
    <row r="177" spans="1:2" x14ac:dyDescent="0.35">
      <c r="A177" s="2">
        <f>YEAR(Sales_Dataset[[#This Row],[Order Date]])</f>
        <v>2021</v>
      </c>
      <c r="B177" t="s">
        <v>707</v>
      </c>
    </row>
    <row r="178" spans="1:2" x14ac:dyDescent="0.35">
      <c r="A178" s="2">
        <f>YEAR(Sales_Dataset[[#This Row],[Order Date]])</f>
        <v>2021</v>
      </c>
      <c r="B178" t="s">
        <v>317</v>
      </c>
    </row>
    <row r="179" spans="1:2" x14ac:dyDescent="0.35">
      <c r="A179" s="2">
        <f>YEAR(Sales_Dataset[[#This Row],[Order Date]])</f>
        <v>2021</v>
      </c>
      <c r="B179" t="s">
        <v>512</v>
      </c>
    </row>
    <row r="180" spans="1:2" x14ac:dyDescent="0.35">
      <c r="A180" s="2">
        <f>YEAR(Sales_Dataset[[#This Row],[Order Date]])</f>
        <v>2021</v>
      </c>
      <c r="B180" t="s">
        <v>330</v>
      </c>
    </row>
    <row r="181" spans="1:2" x14ac:dyDescent="0.35">
      <c r="A181" s="2">
        <f>YEAR(Sales_Dataset[[#This Row],[Order Date]])</f>
        <v>2021</v>
      </c>
      <c r="B181" t="s">
        <v>760</v>
      </c>
    </row>
    <row r="182" spans="1:2" x14ac:dyDescent="0.35">
      <c r="A182" s="2">
        <f>YEAR(Sales_Dataset[[#This Row],[Order Date]])</f>
        <v>2021</v>
      </c>
      <c r="B182" t="s">
        <v>397</v>
      </c>
    </row>
    <row r="183" spans="1:2" x14ac:dyDescent="0.35">
      <c r="A183" s="2">
        <f>YEAR(Sales_Dataset[[#This Row],[Order Date]])</f>
        <v>2021</v>
      </c>
      <c r="B183" t="s">
        <v>765</v>
      </c>
    </row>
    <row r="184" spans="1:2" x14ac:dyDescent="0.35">
      <c r="A184" s="2">
        <f>YEAR(Sales_Dataset[[#This Row],[Order Date]])</f>
        <v>2021</v>
      </c>
      <c r="B184" t="s">
        <v>823</v>
      </c>
    </row>
    <row r="185" spans="1:2" x14ac:dyDescent="0.35">
      <c r="A185" s="2">
        <f>YEAR(Sales_Dataset[[#This Row],[Order Date]])</f>
        <v>2021</v>
      </c>
      <c r="B185" t="s">
        <v>208</v>
      </c>
    </row>
    <row r="186" spans="1:2" x14ac:dyDescent="0.35">
      <c r="A186" s="2">
        <f>YEAR(Sales_Dataset[[#This Row],[Order Date]])</f>
        <v>2021</v>
      </c>
      <c r="B186" t="s">
        <v>698</v>
      </c>
    </row>
    <row r="187" spans="1:2" x14ac:dyDescent="0.35">
      <c r="A187" s="2">
        <f>YEAR(Sales_Dataset[[#This Row],[Order Date]])</f>
        <v>2021</v>
      </c>
      <c r="B187" t="s">
        <v>58</v>
      </c>
    </row>
    <row r="188" spans="1:2" x14ac:dyDescent="0.35">
      <c r="A188" s="2">
        <f>YEAR(Sales_Dataset[[#This Row],[Order Date]])</f>
        <v>2021</v>
      </c>
      <c r="B188" t="s">
        <v>399</v>
      </c>
    </row>
    <row r="189" spans="1:2" x14ac:dyDescent="0.35">
      <c r="A189" s="2">
        <f>YEAR(Sales_Dataset[[#This Row],[Order Date]])</f>
        <v>2021</v>
      </c>
      <c r="B189" t="s">
        <v>767</v>
      </c>
    </row>
    <row r="190" spans="1:2" x14ac:dyDescent="0.35">
      <c r="A190" s="2">
        <f>YEAR(Sales_Dataset[[#This Row],[Order Date]])</f>
        <v>2021</v>
      </c>
      <c r="B190" t="s">
        <v>189</v>
      </c>
    </row>
    <row r="191" spans="1:2" x14ac:dyDescent="0.35">
      <c r="A191" s="2">
        <f>YEAR(Sales_Dataset[[#This Row],[Order Date]])</f>
        <v>2021</v>
      </c>
      <c r="B191" t="s">
        <v>487</v>
      </c>
    </row>
    <row r="192" spans="1:2" x14ac:dyDescent="0.35">
      <c r="A192" s="2">
        <f>YEAR(Sales_Dataset[[#This Row],[Order Date]])</f>
        <v>2021</v>
      </c>
      <c r="B192" t="s">
        <v>819</v>
      </c>
    </row>
    <row r="193" spans="1:2" x14ac:dyDescent="0.35">
      <c r="A193" s="2">
        <f>YEAR(Sales_Dataset[[#This Row],[Order Date]])</f>
        <v>2021</v>
      </c>
      <c r="B193" t="s">
        <v>231</v>
      </c>
    </row>
    <row r="194" spans="1:2" x14ac:dyDescent="0.35">
      <c r="A194" s="2">
        <f>YEAR(Sales_Dataset[[#This Row],[Order Date]])</f>
        <v>2021</v>
      </c>
      <c r="B194" t="s">
        <v>631</v>
      </c>
    </row>
    <row r="195" spans="1:2" x14ac:dyDescent="0.35">
      <c r="A195" s="2">
        <f>YEAR(Sales_Dataset[[#This Row],[Order Date]])</f>
        <v>2021</v>
      </c>
      <c r="B195" t="s">
        <v>649</v>
      </c>
    </row>
    <row r="196" spans="1:2" x14ac:dyDescent="0.35">
      <c r="A196" s="2">
        <f>YEAR(Sales_Dataset[[#This Row],[Order Date]])</f>
        <v>2021</v>
      </c>
      <c r="B196" t="s">
        <v>14</v>
      </c>
    </row>
    <row r="197" spans="1:2" x14ac:dyDescent="0.35">
      <c r="A197" s="2">
        <f>YEAR(Sales_Dataset[[#This Row],[Order Date]])</f>
        <v>2021</v>
      </c>
      <c r="B197" t="s">
        <v>359</v>
      </c>
    </row>
    <row r="198" spans="1:2" x14ac:dyDescent="0.35">
      <c r="A198" s="2">
        <f>YEAR(Sales_Dataset[[#This Row],[Order Date]])</f>
        <v>2021</v>
      </c>
      <c r="B198" t="s">
        <v>243</v>
      </c>
    </row>
    <row r="199" spans="1:2" x14ac:dyDescent="0.35">
      <c r="A199" s="2">
        <f>YEAR(Sales_Dataset[[#This Row],[Order Date]])</f>
        <v>2021</v>
      </c>
      <c r="B199" t="s">
        <v>773</v>
      </c>
    </row>
    <row r="200" spans="1:2" x14ac:dyDescent="0.35">
      <c r="A200" s="2">
        <f>YEAR(Sales_Dataset[[#This Row],[Order Date]])</f>
        <v>2021</v>
      </c>
      <c r="B200" t="s">
        <v>700</v>
      </c>
    </row>
    <row r="201" spans="1:2" x14ac:dyDescent="0.35">
      <c r="A201" s="2">
        <f>YEAR(Sales_Dataset[[#This Row],[Order Date]])</f>
        <v>2021</v>
      </c>
      <c r="B201" t="s">
        <v>381</v>
      </c>
    </row>
    <row r="202" spans="1:2" x14ac:dyDescent="0.35">
      <c r="A202" s="2">
        <f>YEAR(Sales_Dataset[[#This Row],[Order Date]])</f>
        <v>2021</v>
      </c>
      <c r="B202" t="s">
        <v>365</v>
      </c>
    </row>
    <row r="203" spans="1:2" x14ac:dyDescent="0.35">
      <c r="A203" s="2">
        <f>YEAR(Sales_Dataset[[#This Row],[Order Date]])</f>
        <v>2021</v>
      </c>
      <c r="B203" t="s">
        <v>137</v>
      </c>
    </row>
    <row r="204" spans="1:2" x14ac:dyDescent="0.35">
      <c r="A204" s="2">
        <f>YEAR(Sales_Dataset[[#This Row],[Order Date]])</f>
        <v>2021</v>
      </c>
      <c r="B204" t="s">
        <v>540</v>
      </c>
    </row>
    <row r="205" spans="1:2" x14ac:dyDescent="0.35">
      <c r="A205" s="2">
        <f>YEAR(Sales_Dataset[[#This Row],[Order Date]])</f>
        <v>2021</v>
      </c>
      <c r="B205" t="s">
        <v>566</v>
      </c>
    </row>
    <row r="206" spans="1:2" x14ac:dyDescent="0.35">
      <c r="A206" s="2">
        <f>YEAR(Sales_Dataset[[#This Row],[Order Date]])</f>
        <v>2021</v>
      </c>
      <c r="B206" t="s">
        <v>80</v>
      </c>
    </row>
    <row r="207" spans="1:2" x14ac:dyDescent="0.35">
      <c r="A207" s="2">
        <f>YEAR(Sales_Dataset[[#This Row],[Order Date]])</f>
        <v>2021</v>
      </c>
      <c r="B207" t="s">
        <v>538</v>
      </c>
    </row>
    <row r="208" spans="1:2" x14ac:dyDescent="0.35">
      <c r="A208" s="2">
        <f>YEAR(Sales_Dataset[[#This Row],[Order Date]])</f>
        <v>2021</v>
      </c>
      <c r="B208" t="s">
        <v>609</v>
      </c>
    </row>
    <row r="209" spans="1:2" x14ac:dyDescent="0.35">
      <c r="A209" s="2">
        <f>YEAR(Sales_Dataset[[#This Row],[Order Date]])</f>
        <v>2021</v>
      </c>
      <c r="B209" t="s">
        <v>523</v>
      </c>
    </row>
    <row r="210" spans="1:2" x14ac:dyDescent="0.35">
      <c r="A210" s="2">
        <f>YEAR(Sales_Dataset[[#This Row],[Order Date]])</f>
        <v>2021</v>
      </c>
      <c r="B210" t="s">
        <v>549</v>
      </c>
    </row>
    <row r="211" spans="1:2" x14ac:dyDescent="0.35">
      <c r="A211" s="2">
        <f>YEAR(Sales_Dataset[[#This Row],[Order Date]])</f>
        <v>2021</v>
      </c>
      <c r="B211" t="s">
        <v>718</v>
      </c>
    </row>
    <row r="212" spans="1:2" x14ac:dyDescent="0.35">
      <c r="A212" s="2">
        <f>YEAR(Sales_Dataset[[#This Row],[Order Date]])</f>
        <v>2021</v>
      </c>
      <c r="B212" t="s">
        <v>121</v>
      </c>
    </row>
    <row r="213" spans="1:2" x14ac:dyDescent="0.35">
      <c r="A213" s="2">
        <f>YEAR(Sales_Dataset[[#This Row],[Order Date]])</f>
        <v>2021</v>
      </c>
      <c r="B213" t="s">
        <v>621</v>
      </c>
    </row>
    <row r="214" spans="1:2" x14ac:dyDescent="0.35">
      <c r="A214" s="2">
        <f>YEAR(Sales_Dataset[[#This Row],[Order Date]])</f>
        <v>2021</v>
      </c>
      <c r="B214" t="s">
        <v>743</v>
      </c>
    </row>
    <row r="215" spans="1:2" x14ac:dyDescent="0.35">
      <c r="A215" s="2">
        <f>YEAR(Sales_Dataset[[#This Row],[Order Date]])</f>
        <v>2021</v>
      </c>
      <c r="B215" t="s">
        <v>106</v>
      </c>
    </row>
    <row r="216" spans="1:2" x14ac:dyDescent="0.35">
      <c r="A216" s="2">
        <f>YEAR(Sales_Dataset[[#This Row],[Order Date]])</f>
        <v>2021</v>
      </c>
      <c r="B216" t="s">
        <v>313</v>
      </c>
    </row>
    <row r="217" spans="1:2" x14ac:dyDescent="0.35">
      <c r="A217" s="2">
        <f>YEAR(Sales_Dataset[[#This Row],[Order Date]])</f>
        <v>2021</v>
      </c>
      <c r="B217" t="s">
        <v>105</v>
      </c>
    </row>
    <row r="218" spans="1:2" x14ac:dyDescent="0.35">
      <c r="A218" s="2">
        <f>YEAR(Sales_Dataset[[#This Row],[Order Date]])</f>
        <v>2021</v>
      </c>
      <c r="B218" t="s">
        <v>298</v>
      </c>
    </row>
    <row r="219" spans="1:2" x14ac:dyDescent="0.35">
      <c r="A219" s="2">
        <f>YEAR(Sales_Dataset[[#This Row],[Order Date]])</f>
        <v>2021</v>
      </c>
      <c r="B219" t="s">
        <v>187</v>
      </c>
    </row>
    <row r="220" spans="1:2" x14ac:dyDescent="0.35">
      <c r="A220" s="2">
        <f>YEAR(Sales_Dataset[[#This Row],[Order Date]])</f>
        <v>2021</v>
      </c>
      <c r="B220" t="s">
        <v>299</v>
      </c>
    </row>
    <row r="221" spans="1:2" x14ac:dyDescent="0.35">
      <c r="A221" s="2">
        <f>YEAR(Sales_Dataset[[#This Row],[Order Date]])</f>
        <v>2021</v>
      </c>
      <c r="B221" t="s">
        <v>232</v>
      </c>
    </row>
    <row r="222" spans="1:2" x14ac:dyDescent="0.35">
      <c r="A222" s="2">
        <f>YEAR(Sales_Dataset[[#This Row],[Order Date]])</f>
        <v>2021</v>
      </c>
      <c r="B222" t="s">
        <v>213</v>
      </c>
    </row>
    <row r="223" spans="1:2" x14ac:dyDescent="0.35">
      <c r="A223" s="2">
        <f>YEAR(Sales_Dataset[[#This Row],[Order Date]])</f>
        <v>2021</v>
      </c>
      <c r="B223" t="s">
        <v>769</v>
      </c>
    </row>
    <row r="224" spans="1:2" x14ac:dyDescent="0.35">
      <c r="A224" s="2">
        <f>YEAR(Sales_Dataset[[#This Row],[Order Date]])</f>
        <v>2021</v>
      </c>
      <c r="B224" t="s">
        <v>807</v>
      </c>
    </row>
    <row r="225" spans="1:2" x14ac:dyDescent="0.35">
      <c r="A225" s="2">
        <f>YEAR(Sales_Dataset[[#This Row],[Order Date]])</f>
        <v>2021</v>
      </c>
      <c r="B225" t="s">
        <v>738</v>
      </c>
    </row>
    <row r="226" spans="1:2" x14ac:dyDescent="0.35">
      <c r="A226" s="2">
        <f>YEAR(Sales_Dataset[[#This Row],[Order Date]])</f>
        <v>2021</v>
      </c>
      <c r="B226" t="s">
        <v>745</v>
      </c>
    </row>
    <row r="227" spans="1:2" x14ac:dyDescent="0.35">
      <c r="A227" s="2">
        <f>YEAR(Sales_Dataset[[#This Row],[Order Date]])</f>
        <v>2021</v>
      </c>
      <c r="B227" t="s">
        <v>20</v>
      </c>
    </row>
    <row r="228" spans="1:2" x14ac:dyDescent="0.35">
      <c r="A228" s="2">
        <f>YEAR(Sales_Dataset[[#This Row],[Order Date]])</f>
        <v>2021</v>
      </c>
      <c r="B228" t="s">
        <v>96</v>
      </c>
    </row>
    <row r="229" spans="1:2" x14ac:dyDescent="0.35">
      <c r="A229" s="2">
        <f>YEAR(Sales_Dataset[[#This Row],[Order Date]])</f>
        <v>2021</v>
      </c>
      <c r="B229" t="s">
        <v>60</v>
      </c>
    </row>
    <row r="230" spans="1:2" x14ac:dyDescent="0.35">
      <c r="A230" s="2">
        <f>YEAR(Sales_Dataset[[#This Row],[Order Date]])</f>
        <v>2021</v>
      </c>
      <c r="B230" t="s">
        <v>129</v>
      </c>
    </row>
    <row r="231" spans="1:2" x14ac:dyDescent="0.35">
      <c r="A231" s="2">
        <f>YEAR(Sales_Dataset[[#This Row],[Order Date]])</f>
        <v>2021</v>
      </c>
      <c r="B231" t="s">
        <v>602</v>
      </c>
    </row>
    <row r="232" spans="1:2" x14ac:dyDescent="0.35">
      <c r="A232" s="2">
        <f>YEAR(Sales_Dataset[[#This Row],[Order Date]])</f>
        <v>2021</v>
      </c>
      <c r="B232" t="s">
        <v>601</v>
      </c>
    </row>
    <row r="233" spans="1:2" x14ac:dyDescent="0.35">
      <c r="A233" s="2">
        <f>YEAR(Sales_Dataset[[#This Row],[Order Date]])</f>
        <v>2021</v>
      </c>
      <c r="B233" t="s">
        <v>240</v>
      </c>
    </row>
    <row r="234" spans="1:2" x14ac:dyDescent="0.35">
      <c r="A234" s="2">
        <f>YEAR(Sales_Dataset[[#This Row],[Order Date]])</f>
        <v>2021</v>
      </c>
      <c r="B234" t="s">
        <v>475</v>
      </c>
    </row>
    <row r="235" spans="1:2" x14ac:dyDescent="0.35">
      <c r="A235" s="2">
        <f>YEAR(Sales_Dataset[[#This Row],[Order Date]])</f>
        <v>2021</v>
      </c>
      <c r="B235" t="s">
        <v>266</v>
      </c>
    </row>
    <row r="236" spans="1:2" x14ac:dyDescent="0.35">
      <c r="A236" s="2">
        <f>YEAR(Sales_Dataset[[#This Row],[Order Date]])</f>
        <v>2021</v>
      </c>
      <c r="B236" t="s">
        <v>575</v>
      </c>
    </row>
    <row r="237" spans="1:2" x14ac:dyDescent="0.35">
      <c r="A237" s="2">
        <f>YEAR(Sales_Dataset[[#This Row],[Order Date]])</f>
        <v>2021</v>
      </c>
      <c r="B237" t="s">
        <v>654</v>
      </c>
    </row>
    <row r="238" spans="1:2" x14ac:dyDescent="0.35">
      <c r="A238" s="2">
        <f>YEAR(Sales_Dataset[[#This Row],[Order Date]])</f>
        <v>2021</v>
      </c>
      <c r="B238" t="s">
        <v>268</v>
      </c>
    </row>
    <row r="239" spans="1:2" x14ac:dyDescent="0.35">
      <c r="A239" s="2">
        <f>YEAR(Sales_Dataset[[#This Row],[Order Date]])</f>
        <v>2021</v>
      </c>
      <c r="B239" t="s">
        <v>671</v>
      </c>
    </row>
    <row r="240" spans="1:2" x14ac:dyDescent="0.35">
      <c r="A240" s="2">
        <f>YEAR(Sales_Dataset[[#This Row],[Order Date]])</f>
        <v>2021</v>
      </c>
      <c r="B240" t="s">
        <v>353</v>
      </c>
    </row>
    <row r="241" spans="1:2" x14ac:dyDescent="0.35">
      <c r="A241" s="2">
        <f>YEAR(Sales_Dataset[[#This Row],[Order Date]])</f>
        <v>2021</v>
      </c>
      <c r="B241" t="s">
        <v>375</v>
      </c>
    </row>
    <row r="242" spans="1:2" x14ac:dyDescent="0.35">
      <c r="A242" s="2">
        <f>YEAR(Sales_Dataset[[#This Row],[Order Date]])</f>
        <v>2021</v>
      </c>
      <c r="B242" t="s">
        <v>79</v>
      </c>
    </row>
    <row r="243" spans="1:2" x14ac:dyDescent="0.35">
      <c r="A243" s="2">
        <f>YEAR(Sales_Dataset[[#This Row],[Order Date]])</f>
        <v>2021</v>
      </c>
      <c r="B243" t="s">
        <v>622</v>
      </c>
    </row>
    <row r="244" spans="1:2" x14ac:dyDescent="0.35">
      <c r="A244" s="2">
        <f>YEAR(Sales_Dataset[[#This Row],[Order Date]])</f>
        <v>2021</v>
      </c>
      <c r="B244" t="s">
        <v>238</v>
      </c>
    </row>
    <row r="245" spans="1:2" x14ac:dyDescent="0.35">
      <c r="A245" s="2">
        <f>YEAR(Sales_Dataset[[#This Row],[Order Date]])</f>
        <v>2021</v>
      </c>
      <c r="B245" t="s">
        <v>374</v>
      </c>
    </row>
    <row r="246" spans="1:2" x14ac:dyDescent="0.35">
      <c r="A246" s="2">
        <f>YEAR(Sales_Dataset[[#This Row],[Order Date]])</f>
        <v>2021</v>
      </c>
      <c r="B246" t="s">
        <v>114</v>
      </c>
    </row>
    <row r="247" spans="1:2" x14ac:dyDescent="0.35">
      <c r="A247" s="2">
        <f>YEAR(Sales_Dataset[[#This Row],[Order Date]])</f>
        <v>2021</v>
      </c>
      <c r="B247" t="s">
        <v>459</v>
      </c>
    </row>
    <row r="248" spans="1:2" x14ac:dyDescent="0.35">
      <c r="A248" s="2">
        <f>YEAR(Sales_Dataset[[#This Row],[Order Date]])</f>
        <v>2021</v>
      </c>
      <c r="B248" t="s">
        <v>214</v>
      </c>
    </row>
    <row r="249" spans="1:2" x14ac:dyDescent="0.35">
      <c r="A249" s="2">
        <f>YEAR(Sales_Dataset[[#This Row],[Order Date]])</f>
        <v>2021</v>
      </c>
      <c r="B249" t="s">
        <v>417</v>
      </c>
    </row>
    <row r="250" spans="1:2" x14ac:dyDescent="0.35">
      <c r="A250" s="2">
        <f>YEAR(Sales_Dataset[[#This Row],[Order Date]])</f>
        <v>2021</v>
      </c>
      <c r="B250" t="s">
        <v>116</v>
      </c>
    </row>
    <row r="251" spans="1:2" x14ac:dyDescent="0.35">
      <c r="A251" s="2">
        <f>YEAR(Sales_Dataset[[#This Row],[Order Date]])</f>
        <v>2021</v>
      </c>
      <c r="B251" t="s">
        <v>737</v>
      </c>
    </row>
    <row r="252" spans="1:2" x14ac:dyDescent="0.35">
      <c r="A252" s="2">
        <f>YEAR(Sales_Dataset[[#This Row],[Order Date]])</f>
        <v>2021</v>
      </c>
      <c r="B252" t="s">
        <v>103</v>
      </c>
    </row>
    <row r="253" spans="1:2" x14ac:dyDescent="0.35">
      <c r="A253" s="2">
        <f>YEAR(Sales_Dataset[[#This Row],[Order Date]])</f>
        <v>2021</v>
      </c>
      <c r="B253" t="s">
        <v>660</v>
      </c>
    </row>
    <row r="254" spans="1:2" x14ac:dyDescent="0.35">
      <c r="A254" s="2">
        <f>YEAR(Sales_Dataset[[#This Row],[Order Date]])</f>
        <v>2021</v>
      </c>
      <c r="B254" t="s">
        <v>396</v>
      </c>
    </row>
    <row r="255" spans="1:2" x14ac:dyDescent="0.35">
      <c r="A255" s="2">
        <f>YEAR(Sales_Dataset[[#This Row],[Order Date]])</f>
        <v>2021</v>
      </c>
      <c r="B255" t="s">
        <v>559</v>
      </c>
    </row>
    <row r="256" spans="1:2" x14ac:dyDescent="0.35">
      <c r="A256" s="2">
        <f>YEAR(Sales_Dataset[[#This Row],[Order Date]])</f>
        <v>2021</v>
      </c>
      <c r="B256" t="s">
        <v>297</v>
      </c>
    </row>
    <row r="257" spans="1:2" x14ac:dyDescent="0.35">
      <c r="A257" s="2">
        <f>YEAR(Sales_Dataset[[#This Row],[Order Date]])</f>
        <v>2021</v>
      </c>
      <c r="B257" t="s">
        <v>123</v>
      </c>
    </row>
    <row r="258" spans="1:2" x14ac:dyDescent="0.35">
      <c r="A258" s="2">
        <f>YEAR(Sales_Dataset[[#This Row],[Order Date]])</f>
        <v>2021</v>
      </c>
      <c r="B258" t="s">
        <v>438</v>
      </c>
    </row>
    <row r="259" spans="1:2" x14ac:dyDescent="0.35">
      <c r="A259" s="2">
        <f>YEAR(Sales_Dataset[[#This Row],[Order Date]])</f>
        <v>2021</v>
      </c>
      <c r="B259" t="s">
        <v>791</v>
      </c>
    </row>
    <row r="260" spans="1:2" x14ac:dyDescent="0.35">
      <c r="A260" s="2">
        <f>YEAR(Sales_Dataset[[#This Row],[Order Date]])</f>
        <v>2021</v>
      </c>
      <c r="B260" t="s">
        <v>88</v>
      </c>
    </row>
    <row r="261" spans="1:2" x14ac:dyDescent="0.35">
      <c r="A261" s="2">
        <f>YEAR(Sales_Dataset[[#This Row],[Order Date]])</f>
        <v>2021</v>
      </c>
      <c r="B261" t="s">
        <v>724</v>
      </c>
    </row>
    <row r="262" spans="1:2" x14ac:dyDescent="0.35">
      <c r="A262" s="2">
        <f>YEAR(Sales_Dataset[[#This Row],[Order Date]])</f>
        <v>2021</v>
      </c>
      <c r="B262" t="s">
        <v>439</v>
      </c>
    </row>
    <row r="263" spans="1:2" x14ac:dyDescent="0.35">
      <c r="A263" s="2">
        <f>YEAR(Sales_Dataset[[#This Row],[Order Date]])</f>
        <v>2021</v>
      </c>
      <c r="B263" t="s">
        <v>43</v>
      </c>
    </row>
    <row r="264" spans="1:2" x14ac:dyDescent="0.35">
      <c r="A264" s="2">
        <f>YEAR(Sales_Dataset[[#This Row],[Order Date]])</f>
        <v>2021</v>
      </c>
      <c r="B264" t="s">
        <v>300</v>
      </c>
    </row>
    <row r="265" spans="1:2" x14ac:dyDescent="0.35">
      <c r="A265" s="2">
        <f>YEAR(Sales_Dataset[[#This Row],[Order Date]])</f>
        <v>2021</v>
      </c>
      <c r="B265" t="s">
        <v>363</v>
      </c>
    </row>
    <row r="266" spans="1:2" x14ac:dyDescent="0.35">
      <c r="A266" s="2">
        <f>YEAR(Sales_Dataset[[#This Row],[Order Date]])</f>
        <v>2021</v>
      </c>
      <c r="B266" t="s">
        <v>586</v>
      </c>
    </row>
    <row r="267" spans="1:2" x14ac:dyDescent="0.35">
      <c r="A267" s="2">
        <f>YEAR(Sales_Dataset[[#This Row],[Order Date]])</f>
        <v>2021</v>
      </c>
      <c r="B267" t="s">
        <v>393</v>
      </c>
    </row>
    <row r="268" spans="1:2" x14ac:dyDescent="0.35">
      <c r="A268" s="2">
        <f>YEAR(Sales_Dataset[[#This Row],[Order Date]])</f>
        <v>2021</v>
      </c>
      <c r="B268" t="s">
        <v>441</v>
      </c>
    </row>
    <row r="269" spans="1:2" x14ac:dyDescent="0.35">
      <c r="A269" s="2">
        <f>YEAR(Sales_Dataset[[#This Row],[Order Date]])</f>
        <v>2021</v>
      </c>
      <c r="B269" t="s">
        <v>203</v>
      </c>
    </row>
    <row r="270" spans="1:2" x14ac:dyDescent="0.35">
      <c r="A270" s="2">
        <f>YEAR(Sales_Dataset[[#This Row],[Order Date]])</f>
        <v>2021</v>
      </c>
      <c r="B270" t="s">
        <v>728</v>
      </c>
    </row>
    <row r="271" spans="1:2" x14ac:dyDescent="0.35">
      <c r="A271" s="2">
        <f>YEAR(Sales_Dataset[[#This Row],[Order Date]])</f>
        <v>2021</v>
      </c>
      <c r="B271" t="s">
        <v>112</v>
      </c>
    </row>
    <row r="272" spans="1:2" x14ac:dyDescent="0.35">
      <c r="A272" s="2">
        <f>YEAR(Sales_Dataset[[#This Row],[Order Date]])</f>
        <v>2021</v>
      </c>
      <c r="B272" t="s">
        <v>391</v>
      </c>
    </row>
    <row r="273" spans="1:2" x14ac:dyDescent="0.35">
      <c r="A273" s="2">
        <f>YEAR(Sales_Dataset[[#This Row],[Order Date]])</f>
        <v>2021</v>
      </c>
      <c r="B273" t="s">
        <v>54</v>
      </c>
    </row>
    <row r="274" spans="1:2" x14ac:dyDescent="0.35">
      <c r="A274" s="2">
        <f>YEAR(Sales_Dataset[[#This Row],[Order Date]])</f>
        <v>2021</v>
      </c>
      <c r="B274" t="s">
        <v>692</v>
      </c>
    </row>
    <row r="275" spans="1:2" x14ac:dyDescent="0.35">
      <c r="A275" s="2">
        <f>YEAR(Sales_Dataset[[#This Row],[Order Date]])</f>
        <v>2021</v>
      </c>
      <c r="B275" t="s">
        <v>670</v>
      </c>
    </row>
    <row r="276" spans="1:2" x14ac:dyDescent="0.35">
      <c r="A276" s="2">
        <f>YEAR(Sales_Dataset[[#This Row],[Order Date]])</f>
        <v>2021</v>
      </c>
      <c r="B276" t="s">
        <v>351</v>
      </c>
    </row>
    <row r="277" spans="1:2" x14ac:dyDescent="0.35">
      <c r="A277" s="2">
        <f>YEAR(Sales_Dataset[[#This Row],[Order Date]])</f>
        <v>2021</v>
      </c>
      <c r="B277" t="s">
        <v>751</v>
      </c>
    </row>
    <row r="278" spans="1:2" x14ac:dyDescent="0.35">
      <c r="A278" s="2">
        <f>YEAR(Sales_Dataset[[#This Row],[Order Date]])</f>
        <v>2021</v>
      </c>
      <c r="B278" t="s">
        <v>249</v>
      </c>
    </row>
    <row r="279" spans="1:2" x14ac:dyDescent="0.35">
      <c r="A279" s="2">
        <f>YEAR(Sales_Dataset[[#This Row],[Order Date]])</f>
        <v>2021</v>
      </c>
      <c r="B279" t="s">
        <v>274</v>
      </c>
    </row>
    <row r="280" spans="1:2" x14ac:dyDescent="0.35">
      <c r="A280" s="2">
        <f>YEAR(Sales_Dataset[[#This Row],[Order Date]])</f>
        <v>2021</v>
      </c>
      <c r="B280" t="s">
        <v>46</v>
      </c>
    </row>
    <row r="281" spans="1:2" x14ac:dyDescent="0.35">
      <c r="A281" s="2">
        <f>YEAR(Sales_Dataset[[#This Row],[Order Date]])</f>
        <v>2021</v>
      </c>
      <c r="B281" t="s">
        <v>165</v>
      </c>
    </row>
    <row r="282" spans="1:2" x14ac:dyDescent="0.35">
      <c r="A282" s="2">
        <f>YEAR(Sales_Dataset[[#This Row],[Order Date]])</f>
        <v>2021</v>
      </c>
      <c r="B282" t="s">
        <v>551</v>
      </c>
    </row>
    <row r="283" spans="1:2" x14ac:dyDescent="0.35">
      <c r="A283" s="2">
        <f>YEAR(Sales_Dataset[[#This Row],[Order Date]])</f>
        <v>2021</v>
      </c>
      <c r="B283" t="s">
        <v>68</v>
      </c>
    </row>
    <row r="284" spans="1:2" x14ac:dyDescent="0.35">
      <c r="A284" s="2">
        <f>YEAR(Sales_Dataset[[#This Row],[Order Date]])</f>
        <v>2021</v>
      </c>
      <c r="B284" t="s">
        <v>163</v>
      </c>
    </row>
    <row r="285" spans="1:2" x14ac:dyDescent="0.35">
      <c r="A285" s="2">
        <f>YEAR(Sales_Dataset[[#This Row],[Order Date]])</f>
        <v>2021</v>
      </c>
      <c r="B285" t="s">
        <v>495</v>
      </c>
    </row>
    <row r="286" spans="1:2" x14ac:dyDescent="0.35">
      <c r="A286" s="2">
        <f>YEAR(Sales_Dataset[[#This Row],[Order Date]])</f>
        <v>2021</v>
      </c>
      <c r="B286" t="s">
        <v>172</v>
      </c>
    </row>
    <row r="287" spans="1:2" x14ac:dyDescent="0.35">
      <c r="A287" s="2">
        <f>YEAR(Sales_Dataset[[#This Row],[Order Date]])</f>
        <v>2021</v>
      </c>
      <c r="B287" t="s">
        <v>465</v>
      </c>
    </row>
    <row r="288" spans="1:2" x14ac:dyDescent="0.35">
      <c r="A288" s="2">
        <f>YEAR(Sales_Dataset[[#This Row],[Order Date]])</f>
        <v>2021</v>
      </c>
      <c r="B288" t="s">
        <v>591</v>
      </c>
    </row>
    <row r="289" spans="1:2" x14ac:dyDescent="0.35">
      <c r="A289" s="2">
        <f>YEAR(Sales_Dataset[[#This Row],[Order Date]])</f>
        <v>2021</v>
      </c>
      <c r="B289" t="s">
        <v>758</v>
      </c>
    </row>
    <row r="290" spans="1:2" x14ac:dyDescent="0.35">
      <c r="A290" s="2">
        <f>YEAR(Sales_Dataset[[#This Row],[Order Date]])</f>
        <v>2021</v>
      </c>
      <c r="B290" t="s">
        <v>388</v>
      </c>
    </row>
    <row r="291" spans="1:2" x14ac:dyDescent="0.35">
      <c r="A291" s="2">
        <f>YEAR(Sales_Dataset[[#This Row],[Order Date]])</f>
        <v>2021</v>
      </c>
      <c r="B291" t="s">
        <v>756</v>
      </c>
    </row>
    <row r="292" spans="1:2" x14ac:dyDescent="0.35">
      <c r="A292" s="2">
        <f>YEAR(Sales_Dataset[[#This Row],[Order Date]])</f>
        <v>2021</v>
      </c>
      <c r="B292" t="s">
        <v>42</v>
      </c>
    </row>
    <row r="293" spans="1:2" x14ac:dyDescent="0.35">
      <c r="A293" s="2">
        <f>YEAR(Sales_Dataset[[#This Row],[Order Date]])</f>
        <v>2021</v>
      </c>
      <c r="B293" t="s">
        <v>629</v>
      </c>
    </row>
    <row r="294" spans="1:2" x14ac:dyDescent="0.35">
      <c r="A294" s="2">
        <f>YEAR(Sales_Dataset[[#This Row],[Order Date]])</f>
        <v>2021</v>
      </c>
      <c r="B294" t="s">
        <v>87</v>
      </c>
    </row>
    <row r="295" spans="1:2" x14ac:dyDescent="0.35">
      <c r="A295" s="2">
        <f>YEAR(Sales_Dataset[[#This Row],[Order Date]])</f>
        <v>2021</v>
      </c>
      <c r="B295" t="s">
        <v>581</v>
      </c>
    </row>
    <row r="296" spans="1:2" x14ac:dyDescent="0.35">
      <c r="A296" s="2">
        <f>YEAR(Sales_Dataset[[#This Row],[Order Date]])</f>
        <v>2021</v>
      </c>
      <c r="B296" t="s">
        <v>412</v>
      </c>
    </row>
    <row r="297" spans="1:2" x14ac:dyDescent="0.35">
      <c r="A297" s="2">
        <f>YEAR(Sales_Dataset[[#This Row],[Order Date]])</f>
        <v>2021</v>
      </c>
      <c r="B297" t="s">
        <v>404</v>
      </c>
    </row>
    <row r="298" spans="1:2" x14ac:dyDescent="0.35">
      <c r="A298" s="2">
        <f>YEAR(Sales_Dataset[[#This Row],[Order Date]])</f>
        <v>2021</v>
      </c>
      <c r="B298" t="s">
        <v>616</v>
      </c>
    </row>
    <row r="299" spans="1:2" x14ac:dyDescent="0.35">
      <c r="A299" s="2">
        <f>YEAR(Sales_Dataset[[#This Row],[Order Date]])</f>
        <v>2021</v>
      </c>
      <c r="B299" t="s">
        <v>554</v>
      </c>
    </row>
    <row r="300" spans="1:2" x14ac:dyDescent="0.35">
      <c r="A300" s="2">
        <f>YEAR(Sales_Dataset[[#This Row],[Order Date]])</f>
        <v>2021</v>
      </c>
      <c r="B300" t="s">
        <v>822</v>
      </c>
    </row>
    <row r="301" spans="1:2" x14ac:dyDescent="0.35">
      <c r="A301" s="2">
        <f>YEAR(Sales_Dataset[[#This Row],[Order Date]])</f>
        <v>2021</v>
      </c>
      <c r="B301" t="s">
        <v>367</v>
      </c>
    </row>
    <row r="302" spans="1:2" x14ac:dyDescent="0.35">
      <c r="A302" s="2">
        <f>YEAR(Sales_Dataset[[#This Row],[Order Date]])</f>
        <v>2021</v>
      </c>
      <c r="B302" t="s">
        <v>615</v>
      </c>
    </row>
    <row r="303" spans="1:2" x14ac:dyDescent="0.35">
      <c r="A303" s="2">
        <f>YEAR(Sales_Dataset[[#This Row],[Order Date]])</f>
        <v>2021</v>
      </c>
      <c r="B303" t="s">
        <v>76</v>
      </c>
    </row>
    <row r="304" spans="1:2" x14ac:dyDescent="0.35">
      <c r="A304" s="2">
        <f>YEAR(Sales_Dataset[[#This Row],[Order Date]])</f>
        <v>2021</v>
      </c>
      <c r="B304" t="s">
        <v>130</v>
      </c>
    </row>
    <row r="305" spans="1:2" x14ac:dyDescent="0.35">
      <c r="A305" s="2">
        <f>YEAR(Sales_Dataset[[#This Row],[Order Date]])</f>
        <v>2021</v>
      </c>
      <c r="B305" t="s">
        <v>206</v>
      </c>
    </row>
    <row r="306" spans="1:2" x14ac:dyDescent="0.35">
      <c r="A306" s="2">
        <f>YEAR(Sales_Dataset[[#This Row],[Order Date]])</f>
        <v>2021</v>
      </c>
      <c r="B306" t="s">
        <v>63</v>
      </c>
    </row>
    <row r="307" spans="1:2" x14ac:dyDescent="0.35">
      <c r="A307" s="2">
        <f>YEAR(Sales_Dataset[[#This Row],[Order Date]])</f>
        <v>2021</v>
      </c>
      <c r="B307" t="s">
        <v>421</v>
      </c>
    </row>
    <row r="308" spans="1:2" x14ac:dyDescent="0.35">
      <c r="A308" s="2">
        <f>YEAR(Sales_Dataset[[#This Row],[Order Date]])</f>
        <v>2021</v>
      </c>
      <c r="B308" t="s">
        <v>451</v>
      </c>
    </row>
    <row r="309" spans="1:2" x14ac:dyDescent="0.35">
      <c r="A309" s="2">
        <f>YEAR(Sales_Dataset[[#This Row],[Order Date]])</f>
        <v>2021</v>
      </c>
      <c r="B309" t="s">
        <v>431</v>
      </c>
    </row>
    <row r="310" spans="1:2" x14ac:dyDescent="0.35">
      <c r="A310" s="2">
        <f>YEAR(Sales_Dataset[[#This Row],[Order Date]])</f>
        <v>2021</v>
      </c>
      <c r="B310" t="s">
        <v>624</v>
      </c>
    </row>
    <row r="311" spans="1:2" x14ac:dyDescent="0.35">
      <c r="A311" s="2">
        <f>YEAR(Sales_Dataset[[#This Row],[Order Date]])</f>
        <v>2021</v>
      </c>
      <c r="B311" t="s">
        <v>456</v>
      </c>
    </row>
    <row r="312" spans="1:2" x14ac:dyDescent="0.35">
      <c r="A312" s="2">
        <f>YEAR(Sales_Dataset[[#This Row],[Order Date]])</f>
        <v>2021</v>
      </c>
      <c r="B312" t="s">
        <v>519</v>
      </c>
    </row>
    <row r="313" spans="1:2" x14ac:dyDescent="0.35">
      <c r="A313" s="2">
        <f>YEAR(Sales_Dataset[[#This Row],[Order Date]])</f>
        <v>2021</v>
      </c>
      <c r="B313" t="s">
        <v>774</v>
      </c>
    </row>
    <row r="314" spans="1:2" x14ac:dyDescent="0.35">
      <c r="A314" s="2">
        <f>YEAR(Sales_Dataset[[#This Row],[Order Date]])</f>
        <v>2021</v>
      </c>
      <c r="B314" t="s">
        <v>136</v>
      </c>
    </row>
    <row r="315" spans="1:2" x14ac:dyDescent="0.35">
      <c r="A315" s="2">
        <f>YEAR(Sales_Dataset[[#This Row],[Order Date]])</f>
        <v>2021</v>
      </c>
      <c r="B315" t="s">
        <v>307</v>
      </c>
    </row>
    <row r="316" spans="1:2" x14ac:dyDescent="0.35">
      <c r="A316" s="2">
        <f>YEAR(Sales_Dataset[[#This Row],[Order Date]])</f>
        <v>2021</v>
      </c>
      <c r="B316" t="s">
        <v>180</v>
      </c>
    </row>
    <row r="317" spans="1:2" x14ac:dyDescent="0.35">
      <c r="A317" s="2">
        <f>YEAR(Sales_Dataset[[#This Row],[Order Date]])</f>
        <v>2021</v>
      </c>
      <c r="B317" t="s">
        <v>466</v>
      </c>
    </row>
    <row r="318" spans="1:2" x14ac:dyDescent="0.35">
      <c r="A318" s="2">
        <f>YEAR(Sales_Dataset[[#This Row],[Order Date]])</f>
        <v>2021</v>
      </c>
      <c r="B318" t="s">
        <v>62</v>
      </c>
    </row>
    <row r="319" spans="1:2" x14ac:dyDescent="0.35">
      <c r="A319" s="2">
        <f>YEAR(Sales_Dataset[[#This Row],[Order Date]])</f>
        <v>2021</v>
      </c>
      <c r="B319" t="s">
        <v>159</v>
      </c>
    </row>
    <row r="320" spans="1:2" x14ac:dyDescent="0.35">
      <c r="A320" s="2">
        <f>YEAR(Sales_Dataset[[#This Row],[Order Date]])</f>
        <v>2021</v>
      </c>
      <c r="B320" t="s">
        <v>263</v>
      </c>
    </row>
    <row r="321" spans="1:2" x14ac:dyDescent="0.35">
      <c r="A321" s="2">
        <f>YEAR(Sales_Dataset[[#This Row],[Order Date]])</f>
        <v>2021</v>
      </c>
      <c r="B321" t="s">
        <v>77</v>
      </c>
    </row>
    <row r="322" spans="1:2" x14ac:dyDescent="0.35">
      <c r="A322" s="2">
        <f>YEAR(Sales_Dataset[[#This Row],[Order Date]])</f>
        <v>2021</v>
      </c>
      <c r="B322" t="s">
        <v>488</v>
      </c>
    </row>
    <row r="323" spans="1:2" x14ac:dyDescent="0.35">
      <c r="A323" s="2">
        <f>YEAR(Sales_Dataset[[#This Row],[Order Date]])</f>
        <v>2021</v>
      </c>
      <c r="B323" t="s">
        <v>202</v>
      </c>
    </row>
    <row r="324" spans="1:2" x14ac:dyDescent="0.35">
      <c r="A324" s="2">
        <f>YEAR(Sales_Dataset[[#This Row],[Order Date]])</f>
        <v>2021</v>
      </c>
      <c r="B324" t="s">
        <v>288</v>
      </c>
    </row>
    <row r="325" spans="1:2" x14ac:dyDescent="0.35">
      <c r="A325" s="2">
        <f>YEAR(Sales_Dataset[[#This Row],[Order Date]])</f>
        <v>2021</v>
      </c>
      <c r="B325" t="s">
        <v>97</v>
      </c>
    </row>
    <row r="326" spans="1:2" x14ac:dyDescent="0.35">
      <c r="A326" s="2">
        <f>YEAR(Sales_Dataset[[#This Row],[Order Date]])</f>
        <v>2021</v>
      </c>
      <c r="B326" t="s">
        <v>652</v>
      </c>
    </row>
    <row r="327" spans="1:2" x14ac:dyDescent="0.35">
      <c r="A327" s="2">
        <f>YEAR(Sales_Dataset[[#This Row],[Order Date]])</f>
        <v>2021</v>
      </c>
      <c r="B327" t="s">
        <v>247</v>
      </c>
    </row>
    <row r="328" spans="1:2" x14ac:dyDescent="0.35">
      <c r="A328" s="2">
        <f>YEAR(Sales_Dataset[[#This Row],[Order Date]])</f>
        <v>2021</v>
      </c>
      <c r="B328" t="s">
        <v>484</v>
      </c>
    </row>
    <row r="329" spans="1:2" x14ac:dyDescent="0.35">
      <c r="A329" s="2">
        <f>YEAR(Sales_Dataset[[#This Row],[Order Date]])</f>
        <v>2021</v>
      </c>
      <c r="B329" t="s">
        <v>84</v>
      </c>
    </row>
    <row r="330" spans="1:2" x14ac:dyDescent="0.35">
      <c r="A330" s="2">
        <f>YEAR(Sales_Dataset[[#This Row],[Order Date]])</f>
        <v>2021</v>
      </c>
      <c r="B330" t="s">
        <v>377</v>
      </c>
    </row>
    <row r="331" spans="1:2" x14ac:dyDescent="0.35">
      <c r="A331" s="2">
        <f>YEAR(Sales_Dataset[[#This Row],[Order Date]])</f>
        <v>2021</v>
      </c>
      <c r="B331" t="s">
        <v>678</v>
      </c>
    </row>
    <row r="332" spans="1:2" x14ac:dyDescent="0.35">
      <c r="A332" s="2">
        <f>YEAR(Sales_Dataset[[#This Row],[Order Date]])</f>
        <v>2021</v>
      </c>
      <c r="B332" t="s">
        <v>342</v>
      </c>
    </row>
    <row r="333" spans="1:2" x14ac:dyDescent="0.35">
      <c r="A333" s="2">
        <f>YEAR(Sales_Dataset[[#This Row],[Order Date]])</f>
        <v>2021</v>
      </c>
      <c r="B333" t="s">
        <v>492</v>
      </c>
    </row>
    <row r="334" spans="1:2" x14ac:dyDescent="0.35">
      <c r="A334" s="2">
        <f>YEAR(Sales_Dataset[[#This Row],[Order Date]])</f>
        <v>2021</v>
      </c>
      <c r="B334" t="s">
        <v>251</v>
      </c>
    </row>
    <row r="335" spans="1:2" x14ac:dyDescent="0.35">
      <c r="A335" s="2">
        <f>YEAR(Sales_Dataset[[#This Row],[Order Date]])</f>
        <v>2021</v>
      </c>
      <c r="B335" t="s">
        <v>489</v>
      </c>
    </row>
    <row r="336" spans="1:2" x14ac:dyDescent="0.35">
      <c r="A336" s="2">
        <f>YEAR(Sales_Dataset[[#This Row],[Order Date]])</f>
        <v>2021</v>
      </c>
      <c r="B336" t="s">
        <v>701</v>
      </c>
    </row>
    <row r="337" spans="1:2" x14ac:dyDescent="0.35">
      <c r="A337" s="2">
        <f>YEAR(Sales_Dataset[[#This Row],[Order Date]])</f>
        <v>2021</v>
      </c>
      <c r="B337" t="s">
        <v>143</v>
      </c>
    </row>
    <row r="338" spans="1:2" x14ac:dyDescent="0.35">
      <c r="A338" s="2">
        <f>YEAR(Sales_Dataset[[#This Row],[Order Date]])</f>
        <v>2021</v>
      </c>
      <c r="B338" t="s">
        <v>380</v>
      </c>
    </row>
    <row r="339" spans="1:2" x14ac:dyDescent="0.35">
      <c r="A339" s="2">
        <f>YEAR(Sales_Dataset[[#This Row],[Order Date]])</f>
        <v>2021</v>
      </c>
      <c r="B339" t="s">
        <v>735</v>
      </c>
    </row>
    <row r="340" spans="1:2" x14ac:dyDescent="0.35">
      <c r="A340" s="2">
        <f>YEAR(Sales_Dataset[[#This Row],[Order Date]])</f>
        <v>2021</v>
      </c>
      <c r="B340" t="s">
        <v>684</v>
      </c>
    </row>
    <row r="341" spans="1:2" x14ac:dyDescent="0.35">
      <c r="A341" s="2">
        <f>YEAR(Sales_Dataset[[#This Row],[Order Date]])</f>
        <v>2021</v>
      </c>
      <c r="B341" t="s">
        <v>389</v>
      </c>
    </row>
    <row r="342" spans="1:2" x14ac:dyDescent="0.35">
      <c r="A342" s="2">
        <f>YEAR(Sales_Dataset[[#This Row],[Order Date]])</f>
        <v>2021</v>
      </c>
      <c r="B342" t="s">
        <v>357</v>
      </c>
    </row>
    <row r="343" spans="1:2" x14ac:dyDescent="0.35">
      <c r="A343" s="2">
        <f>YEAR(Sales_Dataset[[#This Row],[Order Date]])</f>
        <v>2021</v>
      </c>
      <c r="B343" t="s">
        <v>809</v>
      </c>
    </row>
    <row r="344" spans="1:2" x14ac:dyDescent="0.35">
      <c r="A344" s="2">
        <f>YEAR(Sales_Dataset[[#This Row],[Order Date]])</f>
        <v>2021</v>
      </c>
      <c r="B344" t="s">
        <v>722</v>
      </c>
    </row>
    <row r="345" spans="1:2" x14ac:dyDescent="0.35">
      <c r="A345" s="2">
        <f>YEAR(Sales_Dataset[[#This Row],[Order Date]])</f>
        <v>2021</v>
      </c>
      <c r="B345" t="s">
        <v>81</v>
      </c>
    </row>
    <row r="346" spans="1:2" x14ac:dyDescent="0.35">
      <c r="A346" s="2">
        <f>YEAR(Sales_Dataset[[#This Row],[Order Date]])</f>
        <v>2021</v>
      </c>
      <c r="B346" t="s">
        <v>473</v>
      </c>
    </row>
    <row r="347" spans="1:2" x14ac:dyDescent="0.35">
      <c r="A347" s="2">
        <f>YEAR(Sales_Dataset[[#This Row],[Order Date]])</f>
        <v>2021</v>
      </c>
      <c r="B347" t="s">
        <v>607</v>
      </c>
    </row>
    <row r="348" spans="1:2" x14ac:dyDescent="0.35">
      <c r="A348" s="2">
        <f>YEAR(Sales_Dataset[[#This Row],[Order Date]])</f>
        <v>2021</v>
      </c>
      <c r="B348" t="s">
        <v>716</v>
      </c>
    </row>
    <row r="349" spans="1:2" x14ac:dyDescent="0.35">
      <c r="A349" s="2">
        <f>YEAR(Sales_Dataset[[#This Row],[Order Date]])</f>
        <v>2021</v>
      </c>
      <c r="B349" t="s">
        <v>301</v>
      </c>
    </row>
    <row r="350" spans="1:2" x14ac:dyDescent="0.35">
      <c r="A350" s="2">
        <f>YEAR(Sales_Dataset[[#This Row],[Order Date]])</f>
        <v>2021</v>
      </c>
      <c r="B350" t="s">
        <v>740</v>
      </c>
    </row>
    <row r="351" spans="1:2" x14ac:dyDescent="0.35">
      <c r="A351" s="2">
        <f>YEAR(Sales_Dataset[[#This Row],[Order Date]])</f>
        <v>2021</v>
      </c>
      <c r="B351" t="s">
        <v>543</v>
      </c>
    </row>
    <row r="352" spans="1:2" x14ac:dyDescent="0.35">
      <c r="A352" s="2">
        <f>YEAR(Sales_Dataset[[#This Row],[Order Date]])</f>
        <v>2021</v>
      </c>
      <c r="B352" t="s">
        <v>228</v>
      </c>
    </row>
    <row r="353" spans="1:2" x14ac:dyDescent="0.35">
      <c r="A353" s="2">
        <f>YEAR(Sales_Dataset[[#This Row],[Order Date]])</f>
        <v>2021</v>
      </c>
      <c r="B353" t="s">
        <v>526</v>
      </c>
    </row>
    <row r="354" spans="1:2" x14ac:dyDescent="0.35">
      <c r="A354" s="2">
        <f>YEAR(Sales_Dataset[[#This Row],[Order Date]])</f>
        <v>2021</v>
      </c>
      <c r="B354" t="s">
        <v>730</v>
      </c>
    </row>
    <row r="355" spans="1:2" x14ac:dyDescent="0.35">
      <c r="A355" s="2">
        <f>YEAR(Sales_Dataset[[#This Row],[Order Date]])</f>
        <v>2021</v>
      </c>
      <c r="B355" t="s">
        <v>373</v>
      </c>
    </row>
    <row r="356" spans="1:2" x14ac:dyDescent="0.35">
      <c r="A356" s="2">
        <f>YEAR(Sales_Dataset[[#This Row],[Order Date]])</f>
        <v>2021</v>
      </c>
      <c r="B356" t="s">
        <v>193</v>
      </c>
    </row>
    <row r="357" spans="1:2" x14ac:dyDescent="0.35">
      <c r="A357" s="2">
        <f>YEAR(Sales_Dataset[[#This Row],[Order Date]])</f>
        <v>2021</v>
      </c>
      <c r="B357" t="s">
        <v>785</v>
      </c>
    </row>
    <row r="358" spans="1:2" x14ac:dyDescent="0.35">
      <c r="A358" s="2">
        <f>YEAR(Sales_Dataset[[#This Row],[Order Date]])</f>
        <v>2021</v>
      </c>
      <c r="B358" t="s">
        <v>113</v>
      </c>
    </row>
    <row r="359" spans="1:2" x14ac:dyDescent="0.35">
      <c r="A359" s="2">
        <f>YEAR(Sales_Dataset[[#This Row],[Order Date]])</f>
        <v>2021</v>
      </c>
      <c r="B359" t="s">
        <v>277</v>
      </c>
    </row>
    <row r="360" spans="1:2" x14ac:dyDescent="0.35">
      <c r="A360" s="2">
        <f>YEAR(Sales_Dataset[[#This Row],[Order Date]])</f>
        <v>2021</v>
      </c>
      <c r="B360" t="s">
        <v>177</v>
      </c>
    </row>
    <row r="361" spans="1:2" x14ac:dyDescent="0.35">
      <c r="A361" s="2">
        <f>YEAR(Sales_Dataset[[#This Row],[Order Date]])</f>
        <v>2021</v>
      </c>
      <c r="B361" t="s">
        <v>272</v>
      </c>
    </row>
    <row r="362" spans="1:2" x14ac:dyDescent="0.35">
      <c r="A362" s="2">
        <f>YEAR(Sales_Dataset[[#This Row],[Order Date]])</f>
        <v>2021</v>
      </c>
      <c r="B362" t="s">
        <v>632</v>
      </c>
    </row>
    <row r="363" spans="1:2" x14ac:dyDescent="0.35">
      <c r="A363" s="2">
        <f>YEAR(Sales_Dataset[[#This Row],[Order Date]])</f>
        <v>2021</v>
      </c>
      <c r="B363" t="s">
        <v>74</v>
      </c>
    </row>
    <row r="364" spans="1:2" x14ac:dyDescent="0.35">
      <c r="A364" s="2">
        <f>YEAR(Sales_Dataset[[#This Row],[Order Date]])</f>
        <v>2021</v>
      </c>
      <c r="B364" t="s">
        <v>279</v>
      </c>
    </row>
    <row r="365" spans="1:2" x14ac:dyDescent="0.35">
      <c r="A365" s="2">
        <f>YEAR(Sales_Dataset[[#This Row],[Order Date]])</f>
        <v>2021</v>
      </c>
      <c r="B365" t="s">
        <v>461</v>
      </c>
    </row>
    <row r="366" spans="1:2" x14ac:dyDescent="0.35">
      <c r="A366" s="2">
        <f>YEAR(Sales_Dataset[[#This Row],[Order Date]])</f>
        <v>2021</v>
      </c>
      <c r="B366" t="s">
        <v>398</v>
      </c>
    </row>
    <row r="367" spans="1:2" x14ac:dyDescent="0.35">
      <c r="A367" s="2">
        <f>YEAR(Sales_Dataset[[#This Row],[Order Date]])</f>
        <v>2021</v>
      </c>
      <c r="B367" t="s">
        <v>434</v>
      </c>
    </row>
    <row r="368" spans="1:2" x14ac:dyDescent="0.35">
      <c r="A368" s="2">
        <f>YEAR(Sales_Dataset[[#This Row],[Order Date]])</f>
        <v>2021</v>
      </c>
      <c r="B368" t="s">
        <v>793</v>
      </c>
    </row>
    <row r="369" spans="1:2" x14ac:dyDescent="0.35">
      <c r="A369" s="2">
        <f>YEAR(Sales_Dataset[[#This Row],[Order Date]])</f>
        <v>2021</v>
      </c>
      <c r="B369" t="s">
        <v>230</v>
      </c>
    </row>
    <row r="370" spans="1:2" x14ac:dyDescent="0.35">
      <c r="A370" s="2">
        <f>YEAR(Sales_Dataset[[#This Row],[Order Date]])</f>
        <v>2021</v>
      </c>
      <c r="B370" t="s">
        <v>211</v>
      </c>
    </row>
    <row r="371" spans="1:2" x14ac:dyDescent="0.35">
      <c r="A371" s="2">
        <f>YEAR(Sales_Dataset[[#This Row],[Order Date]])</f>
        <v>2021</v>
      </c>
      <c r="B371" t="s">
        <v>257</v>
      </c>
    </row>
    <row r="372" spans="1:2" x14ac:dyDescent="0.35">
      <c r="A372" s="2">
        <f>YEAR(Sales_Dataset[[#This Row],[Order Date]])</f>
        <v>2021</v>
      </c>
      <c r="B372" t="s">
        <v>504</v>
      </c>
    </row>
    <row r="373" spans="1:2" x14ac:dyDescent="0.35">
      <c r="A373" s="2">
        <f>YEAR(Sales_Dataset[[#This Row],[Order Date]])</f>
        <v>2021</v>
      </c>
      <c r="B373" t="s">
        <v>241</v>
      </c>
    </row>
    <row r="374" spans="1:2" x14ac:dyDescent="0.35">
      <c r="A374" s="2">
        <f>YEAR(Sales_Dataset[[#This Row],[Order Date]])</f>
        <v>2021</v>
      </c>
      <c r="B374" t="s">
        <v>723</v>
      </c>
    </row>
    <row r="375" spans="1:2" x14ac:dyDescent="0.35">
      <c r="A375" s="2">
        <f>YEAR(Sales_Dataset[[#This Row],[Order Date]])</f>
        <v>2021</v>
      </c>
      <c r="B375" t="s">
        <v>627</v>
      </c>
    </row>
    <row r="376" spans="1:2" x14ac:dyDescent="0.35">
      <c r="A376" s="2">
        <f>YEAR(Sales_Dataset[[#This Row],[Order Date]])</f>
        <v>2021</v>
      </c>
      <c r="B376" t="s">
        <v>683</v>
      </c>
    </row>
    <row r="377" spans="1:2" x14ac:dyDescent="0.35">
      <c r="A377" s="2">
        <f>YEAR(Sales_Dataset[[#This Row],[Order Date]])</f>
        <v>2021</v>
      </c>
      <c r="B377" t="s">
        <v>762</v>
      </c>
    </row>
    <row r="378" spans="1:2" x14ac:dyDescent="0.35">
      <c r="A378" s="2">
        <f>YEAR(Sales_Dataset[[#This Row],[Order Date]])</f>
        <v>2021</v>
      </c>
      <c r="B378" t="s">
        <v>697</v>
      </c>
    </row>
    <row r="379" spans="1:2" x14ac:dyDescent="0.35">
      <c r="A379" s="2">
        <f>YEAR(Sales_Dataset[[#This Row],[Order Date]])</f>
        <v>2021</v>
      </c>
      <c r="B379" t="s">
        <v>258</v>
      </c>
    </row>
    <row r="380" spans="1:2" x14ac:dyDescent="0.35">
      <c r="A380" s="2">
        <f>YEAR(Sales_Dataset[[#This Row],[Order Date]])</f>
        <v>2021</v>
      </c>
      <c r="B380" t="s">
        <v>109</v>
      </c>
    </row>
    <row r="381" spans="1:2" x14ac:dyDescent="0.35">
      <c r="A381" s="2">
        <f>YEAR(Sales_Dataset[[#This Row],[Order Date]])</f>
        <v>2021</v>
      </c>
      <c r="B381" t="s">
        <v>401</v>
      </c>
    </row>
    <row r="382" spans="1:2" x14ac:dyDescent="0.35">
      <c r="A382" s="2">
        <f>YEAR(Sales_Dataset[[#This Row],[Order Date]])</f>
        <v>2021</v>
      </c>
      <c r="B382" t="s">
        <v>449</v>
      </c>
    </row>
    <row r="383" spans="1:2" x14ac:dyDescent="0.35">
      <c r="A383" s="2">
        <f>YEAR(Sales_Dataset[[#This Row],[Order Date]])</f>
        <v>2021</v>
      </c>
      <c r="B383" t="s">
        <v>128</v>
      </c>
    </row>
    <row r="384" spans="1:2" x14ac:dyDescent="0.35">
      <c r="A384" s="2">
        <f>YEAR(Sales_Dataset[[#This Row],[Order Date]])</f>
        <v>2021</v>
      </c>
      <c r="B384" t="s">
        <v>679</v>
      </c>
    </row>
    <row r="385" spans="1:2" x14ac:dyDescent="0.35">
      <c r="A385" s="2">
        <f>YEAR(Sales_Dataset[[#This Row],[Order Date]])</f>
        <v>2021</v>
      </c>
      <c r="B385" t="s">
        <v>685</v>
      </c>
    </row>
    <row r="386" spans="1:2" x14ac:dyDescent="0.35">
      <c r="A386" s="2">
        <f>YEAR(Sales_Dataset[[#This Row],[Order Date]])</f>
        <v>2021</v>
      </c>
      <c r="B386" t="s">
        <v>158</v>
      </c>
    </row>
    <row r="387" spans="1:2" x14ac:dyDescent="0.35">
      <c r="A387" s="2">
        <f>YEAR(Sales_Dataset[[#This Row],[Order Date]])</f>
        <v>2021</v>
      </c>
      <c r="B387" t="s">
        <v>686</v>
      </c>
    </row>
    <row r="388" spans="1:2" x14ac:dyDescent="0.35">
      <c r="A388" s="2">
        <f>YEAR(Sales_Dataset[[#This Row],[Order Date]])</f>
        <v>2021</v>
      </c>
      <c r="B388" t="s">
        <v>115</v>
      </c>
    </row>
    <row r="389" spans="1:2" x14ac:dyDescent="0.35">
      <c r="A389" s="2">
        <f>YEAR(Sales_Dataset[[#This Row],[Order Date]])</f>
        <v>2021</v>
      </c>
      <c r="B389" t="s">
        <v>776</v>
      </c>
    </row>
    <row r="390" spans="1:2" x14ac:dyDescent="0.35">
      <c r="A390" s="2">
        <f>YEAR(Sales_Dataset[[#This Row],[Order Date]])</f>
        <v>2022</v>
      </c>
      <c r="B390" t="s">
        <v>303</v>
      </c>
    </row>
    <row r="391" spans="1:2" x14ac:dyDescent="0.35">
      <c r="A391" s="2">
        <f>YEAR(Sales_Dataset[[#This Row],[Order Date]])</f>
        <v>2022</v>
      </c>
      <c r="B391" t="s">
        <v>271</v>
      </c>
    </row>
    <row r="392" spans="1:2" x14ac:dyDescent="0.35">
      <c r="A392" s="2">
        <f>YEAR(Sales_Dataset[[#This Row],[Order Date]])</f>
        <v>2022</v>
      </c>
      <c r="B392" t="s">
        <v>483</v>
      </c>
    </row>
    <row r="393" spans="1:2" x14ac:dyDescent="0.35">
      <c r="A393" s="2">
        <f>YEAR(Sales_Dataset[[#This Row],[Order Date]])</f>
        <v>2022</v>
      </c>
      <c r="B393" t="s">
        <v>663</v>
      </c>
    </row>
    <row r="394" spans="1:2" x14ac:dyDescent="0.35">
      <c r="A394" s="2">
        <f>YEAR(Sales_Dataset[[#This Row],[Order Date]])</f>
        <v>2022</v>
      </c>
      <c r="B394" t="s">
        <v>191</v>
      </c>
    </row>
    <row r="395" spans="1:2" x14ac:dyDescent="0.35">
      <c r="A395" s="2">
        <f>YEAR(Sales_Dataset[[#This Row],[Order Date]])</f>
        <v>2022</v>
      </c>
      <c r="B395" t="s">
        <v>665</v>
      </c>
    </row>
    <row r="396" spans="1:2" x14ac:dyDescent="0.35">
      <c r="A396" s="2">
        <f>YEAR(Sales_Dataset[[#This Row],[Order Date]])</f>
        <v>2022</v>
      </c>
      <c r="B396" t="s">
        <v>339</v>
      </c>
    </row>
    <row r="397" spans="1:2" x14ac:dyDescent="0.35">
      <c r="A397" s="2">
        <f>YEAR(Sales_Dataset[[#This Row],[Order Date]])</f>
        <v>2022</v>
      </c>
      <c r="B397" t="s">
        <v>546</v>
      </c>
    </row>
    <row r="398" spans="1:2" x14ac:dyDescent="0.35">
      <c r="A398" s="2">
        <f>YEAR(Sales_Dataset[[#This Row],[Order Date]])</f>
        <v>2022</v>
      </c>
      <c r="B398" t="s">
        <v>568</v>
      </c>
    </row>
    <row r="399" spans="1:2" x14ac:dyDescent="0.35">
      <c r="A399" s="2">
        <f>YEAR(Sales_Dataset[[#This Row],[Order Date]])</f>
        <v>2022</v>
      </c>
      <c r="B399" t="s">
        <v>98</v>
      </c>
    </row>
    <row r="400" spans="1:2" x14ac:dyDescent="0.35">
      <c r="A400" s="2">
        <f>YEAR(Sales_Dataset[[#This Row],[Order Date]])</f>
        <v>2022</v>
      </c>
      <c r="B400" t="s">
        <v>354</v>
      </c>
    </row>
    <row r="401" spans="1:2" x14ac:dyDescent="0.35">
      <c r="A401" s="2">
        <f>YEAR(Sales_Dataset[[#This Row],[Order Date]])</f>
        <v>2022</v>
      </c>
      <c r="B401" t="s">
        <v>705</v>
      </c>
    </row>
    <row r="402" spans="1:2" x14ac:dyDescent="0.35">
      <c r="A402" s="2">
        <f>YEAR(Sales_Dataset[[#This Row],[Order Date]])</f>
        <v>2022</v>
      </c>
      <c r="B402" t="s">
        <v>541</v>
      </c>
    </row>
    <row r="403" spans="1:2" x14ac:dyDescent="0.35">
      <c r="A403" s="2">
        <f>YEAR(Sales_Dataset[[#This Row],[Order Date]])</f>
        <v>2022</v>
      </c>
      <c r="B403" t="s">
        <v>688</v>
      </c>
    </row>
    <row r="404" spans="1:2" x14ac:dyDescent="0.35">
      <c r="A404" s="2">
        <f>YEAR(Sales_Dataset[[#This Row],[Order Date]])</f>
        <v>2022</v>
      </c>
      <c r="B404" t="s">
        <v>142</v>
      </c>
    </row>
    <row r="405" spans="1:2" x14ac:dyDescent="0.35">
      <c r="A405" s="2">
        <f>YEAR(Sales_Dataset[[#This Row],[Order Date]])</f>
        <v>2022</v>
      </c>
      <c r="B405" t="s">
        <v>572</v>
      </c>
    </row>
    <row r="406" spans="1:2" x14ac:dyDescent="0.35">
      <c r="A406" s="2">
        <f>YEAR(Sales_Dataset[[#This Row],[Order Date]])</f>
        <v>2022</v>
      </c>
      <c r="B406" t="s">
        <v>61</v>
      </c>
    </row>
    <row r="407" spans="1:2" x14ac:dyDescent="0.35">
      <c r="A407" s="2">
        <f>YEAR(Sales_Dataset[[#This Row],[Order Date]])</f>
        <v>2022</v>
      </c>
      <c r="B407" t="s">
        <v>161</v>
      </c>
    </row>
    <row r="408" spans="1:2" x14ac:dyDescent="0.35">
      <c r="A408" s="2">
        <f>YEAR(Sales_Dataset[[#This Row],[Order Date]])</f>
        <v>2022</v>
      </c>
      <c r="B408" t="s">
        <v>406</v>
      </c>
    </row>
    <row r="409" spans="1:2" x14ac:dyDescent="0.35">
      <c r="A409" s="2">
        <f>YEAR(Sales_Dataset[[#This Row],[Order Date]])</f>
        <v>2022</v>
      </c>
      <c r="B409" t="s">
        <v>634</v>
      </c>
    </row>
    <row r="410" spans="1:2" x14ac:dyDescent="0.35">
      <c r="A410" s="2">
        <f>YEAR(Sales_Dataset[[#This Row],[Order Date]])</f>
        <v>2022</v>
      </c>
      <c r="B410" t="s">
        <v>415</v>
      </c>
    </row>
    <row r="411" spans="1:2" x14ac:dyDescent="0.35">
      <c r="A411" s="2">
        <f>YEAR(Sales_Dataset[[#This Row],[Order Date]])</f>
        <v>2022</v>
      </c>
      <c r="B411" t="s">
        <v>326</v>
      </c>
    </row>
    <row r="412" spans="1:2" x14ac:dyDescent="0.35">
      <c r="A412" s="2">
        <f>YEAR(Sales_Dataset[[#This Row],[Order Date]])</f>
        <v>2022</v>
      </c>
      <c r="B412" t="s">
        <v>52</v>
      </c>
    </row>
    <row r="413" spans="1:2" x14ac:dyDescent="0.35">
      <c r="A413" s="2">
        <f>YEAR(Sales_Dataset[[#This Row],[Order Date]])</f>
        <v>2022</v>
      </c>
      <c r="B413" t="s">
        <v>355</v>
      </c>
    </row>
    <row r="414" spans="1:2" x14ac:dyDescent="0.35">
      <c r="A414" s="2">
        <f>YEAR(Sales_Dataset[[#This Row],[Order Date]])</f>
        <v>2022</v>
      </c>
      <c r="B414" t="s">
        <v>806</v>
      </c>
    </row>
    <row r="415" spans="1:2" x14ac:dyDescent="0.35">
      <c r="A415" s="2">
        <f>YEAR(Sales_Dataset[[#This Row],[Order Date]])</f>
        <v>2022</v>
      </c>
      <c r="B415" t="s">
        <v>224</v>
      </c>
    </row>
    <row r="416" spans="1:2" x14ac:dyDescent="0.35">
      <c r="A416" s="2">
        <f>YEAR(Sales_Dataset[[#This Row],[Order Date]])</f>
        <v>2022</v>
      </c>
      <c r="B416" t="s">
        <v>411</v>
      </c>
    </row>
    <row r="417" spans="1:2" x14ac:dyDescent="0.35">
      <c r="A417" s="2">
        <f>YEAR(Sales_Dataset[[#This Row],[Order Date]])</f>
        <v>2022</v>
      </c>
      <c r="B417" t="s">
        <v>315</v>
      </c>
    </row>
    <row r="418" spans="1:2" x14ac:dyDescent="0.35">
      <c r="A418" s="2">
        <f>YEAR(Sales_Dataset[[#This Row],[Order Date]])</f>
        <v>2022</v>
      </c>
      <c r="B418" t="s">
        <v>148</v>
      </c>
    </row>
    <row r="419" spans="1:2" x14ac:dyDescent="0.35">
      <c r="A419" s="2">
        <f>YEAR(Sales_Dataset[[#This Row],[Order Date]])</f>
        <v>2022</v>
      </c>
      <c r="B419" t="s">
        <v>294</v>
      </c>
    </row>
    <row r="420" spans="1:2" x14ac:dyDescent="0.35">
      <c r="A420" s="2">
        <f>YEAR(Sales_Dataset[[#This Row],[Order Date]])</f>
        <v>2022</v>
      </c>
      <c r="B420" t="s">
        <v>349</v>
      </c>
    </row>
    <row r="421" spans="1:2" x14ac:dyDescent="0.35">
      <c r="A421" s="2">
        <f>YEAR(Sales_Dataset[[#This Row],[Order Date]])</f>
        <v>2022</v>
      </c>
      <c r="B421" t="s">
        <v>476</v>
      </c>
    </row>
    <row r="422" spans="1:2" x14ac:dyDescent="0.35">
      <c r="A422" s="2">
        <f>YEAR(Sales_Dataset[[#This Row],[Order Date]])</f>
        <v>2022</v>
      </c>
      <c r="B422" t="s">
        <v>719</v>
      </c>
    </row>
    <row r="423" spans="1:2" x14ac:dyDescent="0.35">
      <c r="A423" s="2">
        <f>YEAR(Sales_Dataset[[#This Row],[Order Date]])</f>
        <v>2022</v>
      </c>
      <c r="B423" t="s">
        <v>45</v>
      </c>
    </row>
    <row r="424" spans="1:2" x14ac:dyDescent="0.35">
      <c r="A424" s="2">
        <f>YEAR(Sales_Dataset[[#This Row],[Order Date]])</f>
        <v>2022</v>
      </c>
      <c r="B424" t="s">
        <v>650</v>
      </c>
    </row>
    <row r="425" spans="1:2" x14ac:dyDescent="0.35">
      <c r="A425" s="2">
        <f>YEAR(Sales_Dataset[[#This Row],[Order Date]])</f>
        <v>2022</v>
      </c>
      <c r="B425" t="s">
        <v>332</v>
      </c>
    </row>
    <row r="426" spans="1:2" x14ac:dyDescent="0.35">
      <c r="A426" s="2">
        <f>YEAR(Sales_Dataset[[#This Row],[Order Date]])</f>
        <v>2022</v>
      </c>
      <c r="B426" t="s">
        <v>721</v>
      </c>
    </row>
    <row r="427" spans="1:2" x14ac:dyDescent="0.35">
      <c r="A427" s="2">
        <f>YEAR(Sales_Dataset[[#This Row],[Order Date]])</f>
        <v>2022</v>
      </c>
      <c r="B427" t="s">
        <v>462</v>
      </c>
    </row>
    <row r="428" spans="1:2" x14ac:dyDescent="0.35">
      <c r="A428" s="2">
        <f>YEAR(Sales_Dataset[[#This Row],[Order Date]])</f>
        <v>2022</v>
      </c>
      <c r="B428" t="s">
        <v>612</v>
      </c>
    </row>
    <row r="429" spans="1:2" x14ac:dyDescent="0.35">
      <c r="A429" s="2">
        <f>YEAR(Sales_Dataset[[#This Row],[Order Date]])</f>
        <v>2022</v>
      </c>
      <c r="B429" t="s">
        <v>511</v>
      </c>
    </row>
    <row r="430" spans="1:2" x14ac:dyDescent="0.35">
      <c r="A430" s="2">
        <f>YEAR(Sales_Dataset[[#This Row],[Order Date]])</f>
        <v>2022</v>
      </c>
      <c r="B430" t="s">
        <v>508</v>
      </c>
    </row>
    <row r="431" spans="1:2" x14ac:dyDescent="0.35">
      <c r="A431" s="2">
        <f>YEAR(Sales_Dataset[[#This Row],[Order Date]])</f>
        <v>2022</v>
      </c>
      <c r="B431" t="s">
        <v>527</v>
      </c>
    </row>
    <row r="432" spans="1:2" x14ac:dyDescent="0.35">
      <c r="A432" s="2">
        <f>YEAR(Sales_Dataset[[#This Row],[Order Date]])</f>
        <v>2022</v>
      </c>
      <c r="B432" t="s">
        <v>21</v>
      </c>
    </row>
    <row r="433" spans="1:2" x14ac:dyDescent="0.35">
      <c r="A433" s="2">
        <f>YEAR(Sales_Dataset[[#This Row],[Order Date]])</f>
        <v>2022</v>
      </c>
      <c r="B433" t="s">
        <v>78</v>
      </c>
    </row>
    <row r="434" spans="1:2" x14ac:dyDescent="0.35">
      <c r="A434" s="2">
        <f>YEAR(Sales_Dataset[[#This Row],[Order Date]])</f>
        <v>2022</v>
      </c>
      <c r="B434" t="s">
        <v>331</v>
      </c>
    </row>
    <row r="435" spans="1:2" x14ac:dyDescent="0.35">
      <c r="A435" s="2">
        <f>YEAR(Sales_Dataset[[#This Row],[Order Date]])</f>
        <v>2022</v>
      </c>
      <c r="B435" t="s">
        <v>818</v>
      </c>
    </row>
    <row r="436" spans="1:2" x14ac:dyDescent="0.35">
      <c r="A436" s="2">
        <f>YEAR(Sales_Dataset[[#This Row],[Order Date]])</f>
        <v>2022</v>
      </c>
      <c r="B436" t="s">
        <v>90</v>
      </c>
    </row>
    <row r="437" spans="1:2" x14ac:dyDescent="0.35">
      <c r="A437" s="2">
        <f>YEAR(Sales_Dataset[[#This Row],[Order Date]])</f>
        <v>2022</v>
      </c>
      <c r="B437" t="s">
        <v>320</v>
      </c>
    </row>
    <row r="438" spans="1:2" x14ac:dyDescent="0.35">
      <c r="A438" s="2">
        <f>YEAR(Sales_Dataset[[#This Row],[Order Date]])</f>
        <v>2022</v>
      </c>
      <c r="B438" t="s">
        <v>110</v>
      </c>
    </row>
    <row r="439" spans="1:2" x14ac:dyDescent="0.35">
      <c r="A439" s="2">
        <f>YEAR(Sales_Dataset[[#This Row],[Order Date]])</f>
        <v>2022</v>
      </c>
      <c r="B439" t="s">
        <v>209</v>
      </c>
    </row>
    <row r="440" spans="1:2" x14ac:dyDescent="0.35">
      <c r="A440" s="2">
        <f>YEAR(Sales_Dataset[[#This Row],[Order Date]])</f>
        <v>2022</v>
      </c>
      <c r="B440" t="s">
        <v>432</v>
      </c>
    </row>
    <row r="441" spans="1:2" x14ac:dyDescent="0.35">
      <c r="A441" s="2">
        <f>YEAR(Sales_Dataset[[#This Row],[Order Date]])</f>
        <v>2022</v>
      </c>
      <c r="B441" t="s">
        <v>646</v>
      </c>
    </row>
    <row r="442" spans="1:2" x14ac:dyDescent="0.35">
      <c r="A442" s="2">
        <f>YEAR(Sales_Dataset[[#This Row],[Order Date]])</f>
        <v>2022</v>
      </c>
      <c r="B442" t="s">
        <v>753</v>
      </c>
    </row>
    <row r="443" spans="1:2" x14ac:dyDescent="0.35">
      <c r="A443" s="2">
        <f>YEAR(Sales_Dataset[[#This Row],[Order Date]])</f>
        <v>2022</v>
      </c>
      <c r="B443" t="s">
        <v>147</v>
      </c>
    </row>
    <row r="444" spans="1:2" x14ac:dyDescent="0.35">
      <c r="A444" s="2">
        <f>YEAR(Sales_Dataset[[#This Row],[Order Date]])</f>
        <v>2022</v>
      </c>
      <c r="B444" t="s">
        <v>394</v>
      </c>
    </row>
    <row r="445" spans="1:2" x14ac:dyDescent="0.35">
      <c r="A445" s="2">
        <f>YEAR(Sales_Dataset[[#This Row],[Order Date]])</f>
        <v>2022</v>
      </c>
      <c r="B445" t="s">
        <v>828</v>
      </c>
    </row>
    <row r="446" spans="1:2" x14ac:dyDescent="0.35">
      <c r="A446" s="2">
        <f>YEAR(Sales_Dataset[[#This Row],[Order Date]])</f>
        <v>2022</v>
      </c>
      <c r="B446" t="s">
        <v>69</v>
      </c>
    </row>
    <row r="447" spans="1:2" x14ac:dyDescent="0.35">
      <c r="A447" s="2">
        <f>YEAR(Sales_Dataset[[#This Row],[Order Date]])</f>
        <v>2022</v>
      </c>
      <c r="B447" t="s">
        <v>192</v>
      </c>
    </row>
    <row r="448" spans="1:2" x14ac:dyDescent="0.35">
      <c r="A448" s="2">
        <f>YEAR(Sales_Dataset[[#This Row],[Order Date]])</f>
        <v>2022</v>
      </c>
      <c r="B448" t="s">
        <v>162</v>
      </c>
    </row>
    <row r="449" spans="1:2" x14ac:dyDescent="0.35">
      <c r="A449" s="2">
        <f>YEAR(Sales_Dataset[[#This Row],[Order Date]])</f>
        <v>2022</v>
      </c>
      <c r="B449" t="s">
        <v>318</v>
      </c>
    </row>
    <row r="450" spans="1:2" x14ac:dyDescent="0.35">
      <c r="A450" s="2">
        <f>YEAR(Sales_Dataset[[#This Row],[Order Date]])</f>
        <v>2022</v>
      </c>
      <c r="B450" t="s">
        <v>708</v>
      </c>
    </row>
    <row r="451" spans="1:2" x14ac:dyDescent="0.35">
      <c r="A451" s="2">
        <f>YEAR(Sales_Dataset[[#This Row],[Order Date]])</f>
        <v>2022</v>
      </c>
      <c r="B451" t="s">
        <v>85</v>
      </c>
    </row>
    <row r="452" spans="1:2" x14ac:dyDescent="0.35">
      <c r="A452" s="2">
        <f>YEAR(Sales_Dataset[[#This Row],[Order Date]])</f>
        <v>2022</v>
      </c>
      <c r="B452" t="s">
        <v>448</v>
      </c>
    </row>
    <row r="453" spans="1:2" x14ac:dyDescent="0.35">
      <c r="A453" s="2">
        <f>YEAR(Sales_Dataset[[#This Row],[Order Date]])</f>
        <v>2022</v>
      </c>
      <c r="B453" t="s">
        <v>468</v>
      </c>
    </row>
    <row r="454" spans="1:2" x14ac:dyDescent="0.35">
      <c r="A454" s="2">
        <f>YEAR(Sales_Dataset[[#This Row],[Order Date]])</f>
        <v>2022</v>
      </c>
      <c r="B454" t="s">
        <v>325</v>
      </c>
    </row>
    <row r="455" spans="1:2" x14ac:dyDescent="0.35">
      <c r="A455" s="2">
        <f>YEAR(Sales_Dataset[[#This Row],[Order Date]])</f>
        <v>2022</v>
      </c>
      <c r="B455" t="s">
        <v>361</v>
      </c>
    </row>
    <row r="456" spans="1:2" x14ac:dyDescent="0.35">
      <c r="A456" s="2">
        <f>YEAR(Sales_Dataset[[#This Row],[Order Date]])</f>
        <v>2022</v>
      </c>
      <c r="B456" t="s">
        <v>499</v>
      </c>
    </row>
    <row r="457" spans="1:2" x14ac:dyDescent="0.35">
      <c r="A457" s="2">
        <f>YEAR(Sales_Dataset[[#This Row],[Order Date]])</f>
        <v>2022</v>
      </c>
      <c r="B457" t="s">
        <v>284</v>
      </c>
    </row>
    <row r="458" spans="1:2" x14ac:dyDescent="0.35">
      <c r="A458" s="2">
        <f>YEAR(Sales_Dataset[[#This Row],[Order Date]])</f>
        <v>2022</v>
      </c>
      <c r="B458" t="s">
        <v>323</v>
      </c>
    </row>
    <row r="459" spans="1:2" x14ac:dyDescent="0.35">
      <c r="A459" s="2">
        <f>YEAR(Sales_Dataset[[#This Row],[Order Date]])</f>
        <v>2022</v>
      </c>
      <c r="B459" t="s">
        <v>509</v>
      </c>
    </row>
    <row r="460" spans="1:2" x14ac:dyDescent="0.35">
      <c r="A460" s="2">
        <f>YEAR(Sales_Dataset[[#This Row],[Order Date]])</f>
        <v>2022</v>
      </c>
      <c r="B460" t="s">
        <v>711</v>
      </c>
    </row>
    <row r="461" spans="1:2" x14ac:dyDescent="0.35">
      <c r="A461" s="2">
        <f>YEAR(Sales_Dataset[[#This Row],[Order Date]])</f>
        <v>2022</v>
      </c>
      <c r="B461" t="s">
        <v>267</v>
      </c>
    </row>
    <row r="462" spans="1:2" x14ac:dyDescent="0.35">
      <c r="A462" s="2">
        <f>YEAR(Sales_Dataset[[#This Row],[Order Date]])</f>
        <v>2022</v>
      </c>
      <c r="B462" t="s">
        <v>556</v>
      </c>
    </row>
    <row r="463" spans="1:2" x14ac:dyDescent="0.35">
      <c r="A463" s="2">
        <f>YEAR(Sales_Dataset[[#This Row],[Order Date]])</f>
        <v>2022</v>
      </c>
      <c r="B463" t="s">
        <v>216</v>
      </c>
    </row>
    <row r="464" spans="1:2" x14ac:dyDescent="0.35">
      <c r="A464" s="2">
        <f>YEAR(Sales_Dataset[[#This Row],[Order Date]])</f>
        <v>2022</v>
      </c>
      <c r="B464" t="s">
        <v>561</v>
      </c>
    </row>
    <row r="465" spans="1:2" x14ac:dyDescent="0.35">
      <c r="A465" s="2">
        <f>YEAR(Sales_Dataset[[#This Row],[Order Date]])</f>
        <v>2022</v>
      </c>
      <c r="B465" t="s">
        <v>742</v>
      </c>
    </row>
    <row r="466" spans="1:2" x14ac:dyDescent="0.35">
      <c r="A466" s="2">
        <f>YEAR(Sales_Dataset[[#This Row],[Order Date]])</f>
        <v>2022</v>
      </c>
      <c r="B466" t="s">
        <v>490</v>
      </c>
    </row>
    <row r="467" spans="1:2" x14ac:dyDescent="0.35">
      <c r="A467" s="2">
        <f>YEAR(Sales_Dataset[[#This Row],[Order Date]])</f>
        <v>2022</v>
      </c>
      <c r="B467" t="s">
        <v>287</v>
      </c>
    </row>
    <row r="468" spans="1:2" x14ac:dyDescent="0.35">
      <c r="A468" s="2">
        <f>YEAR(Sales_Dataset[[#This Row],[Order Date]])</f>
        <v>2022</v>
      </c>
      <c r="B468" t="s">
        <v>358</v>
      </c>
    </row>
    <row r="469" spans="1:2" x14ac:dyDescent="0.35">
      <c r="A469" s="2">
        <f>YEAR(Sales_Dataset[[#This Row],[Order Date]])</f>
        <v>2022</v>
      </c>
      <c r="B469" t="s">
        <v>620</v>
      </c>
    </row>
    <row r="470" spans="1:2" x14ac:dyDescent="0.35">
      <c r="A470" s="2">
        <f>YEAR(Sales_Dataset[[#This Row],[Order Date]])</f>
        <v>2022</v>
      </c>
      <c r="B470" t="s">
        <v>188</v>
      </c>
    </row>
    <row r="471" spans="1:2" x14ac:dyDescent="0.35">
      <c r="A471" s="2">
        <f>YEAR(Sales_Dataset[[#This Row],[Order Date]])</f>
        <v>2022</v>
      </c>
      <c r="B471" t="s">
        <v>164</v>
      </c>
    </row>
    <row r="472" spans="1:2" x14ac:dyDescent="0.35">
      <c r="A472" s="2">
        <f>YEAR(Sales_Dataset[[#This Row],[Order Date]])</f>
        <v>2022</v>
      </c>
      <c r="B472" t="s">
        <v>727</v>
      </c>
    </row>
    <row r="473" spans="1:2" x14ac:dyDescent="0.35">
      <c r="A473" s="2">
        <f>YEAR(Sales_Dataset[[#This Row],[Order Date]])</f>
        <v>2022</v>
      </c>
      <c r="B473" t="s">
        <v>44</v>
      </c>
    </row>
    <row r="474" spans="1:2" x14ac:dyDescent="0.35">
      <c r="A474" s="2">
        <f>YEAR(Sales_Dataset[[#This Row],[Order Date]])</f>
        <v>2022</v>
      </c>
      <c r="B474" t="s">
        <v>587</v>
      </c>
    </row>
    <row r="475" spans="1:2" x14ac:dyDescent="0.35">
      <c r="A475" s="2">
        <f>YEAR(Sales_Dataset[[#This Row],[Order Date]])</f>
        <v>2022</v>
      </c>
      <c r="B475" t="s">
        <v>648</v>
      </c>
    </row>
    <row r="476" spans="1:2" x14ac:dyDescent="0.35">
      <c r="A476" s="2">
        <f>YEAR(Sales_Dataset[[#This Row],[Order Date]])</f>
        <v>2022</v>
      </c>
      <c r="B476" t="s">
        <v>384</v>
      </c>
    </row>
    <row r="477" spans="1:2" x14ac:dyDescent="0.35">
      <c r="A477" s="2">
        <f>YEAR(Sales_Dataset[[#This Row],[Order Date]])</f>
        <v>2022</v>
      </c>
      <c r="B477" t="s">
        <v>108</v>
      </c>
    </row>
    <row r="478" spans="1:2" x14ac:dyDescent="0.35">
      <c r="A478" s="2">
        <f>YEAR(Sales_Dataset[[#This Row],[Order Date]])</f>
        <v>2022</v>
      </c>
      <c r="B478" t="s">
        <v>419</v>
      </c>
    </row>
    <row r="479" spans="1:2" x14ac:dyDescent="0.35">
      <c r="A479" s="2">
        <f>YEAR(Sales_Dataset[[#This Row],[Order Date]])</f>
        <v>2022</v>
      </c>
      <c r="B479" t="s">
        <v>253</v>
      </c>
    </row>
    <row r="480" spans="1:2" x14ac:dyDescent="0.35">
      <c r="A480" s="2">
        <f>YEAR(Sales_Dataset[[#This Row],[Order Date]])</f>
        <v>2022</v>
      </c>
      <c r="B480" t="s">
        <v>117</v>
      </c>
    </row>
    <row r="481" spans="1:2" x14ac:dyDescent="0.35">
      <c r="A481" s="2">
        <f>YEAR(Sales_Dataset[[#This Row],[Order Date]])</f>
        <v>2022</v>
      </c>
      <c r="B481" t="s">
        <v>696</v>
      </c>
    </row>
    <row r="482" spans="1:2" x14ac:dyDescent="0.35">
      <c r="A482" s="2">
        <f>YEAR(Sales_Dataset[[#This Row],[Order Date]])</f>
        <v>2022</v>
      </c>
      <c r="B482" t="s">
        <v>423</v>
      </c>
    </row>
    <row r="483" spans="1:2" x14ac:dyDescent="0.35">
      <c r="A483" s="2">
        <f>YEAR(Sales_Dataset[[#This Row],[Order Date]])</f>
        <v>2022</v>
      </c>
      <c r="B483" t="s">
        <v>779</v>
      </c>
    </row>
    <row r="484" spans="1:2" x14ac:dyDescent="0.35">
      <c r="A484" s="2">
        <f>YEAR(Sales_Dataset[[#This Row],[Order Date]])</f>
        <v>2022</v>
      </c>
      <c r="B484" t="s">
        <v>569</v>
      </c>
    </row>
    <row r="485" spans="1:2" x14ac:dyDescent="0.35">
      <c r="A485" s="2">
        <f>YEAR(Sales_Dataset[[#This Row],[Order Date]])</f>
        <v>2022</v>
      </c>
      <c r="B485" t="s">
        <v>782</v>
      </c>
    </row>
    <row r="486" spans="1:2" x14ac:dyDescent="0.35">
      <c r="A486" s="2">
        <f>YEAR(Sales_Dataset[[#This Row],[Order Date]])</f>
        <v>2022</v>
      </c>
      <c r="B486" t="s">
        <v>314</v>
      </c>
    </row>
    <row r="487" spans="1:2" x14ac:dyDescent="0.35">
      <c r="A487" s="2">
        <f>YEAR(Sales_Dataset[[#This Row],[Order Date]])</f>
        <v>2022</v>
      </c>
      <c r="B487" t="s">
        <v>184</v>
      </c>
    </row>
    <row r="488" spans="1:2" x14ac:dyDescent="0.35">
      <c r="A488" s="2">
        <f>YEAR(Sales_Dataset[[#This Row],[Order Date]])</f>
        <v>2022</v>
      </c>
      <c r="B488" t="s">
        <v>502</v>
      </c>
    </row>
    <row r="489" spans="1:2" x14ac:dyDescent="0.35">
      <c r="A489" s="2">
        <f>YEAR(Sales_Dataset[[#This Row],[Order Date]])</f>
        <v>2022</v>
      </c>
      <c r="B489" t="s">
        <v>552</v>
      </c>
    </row>
    <row r="490" spans="1:2" x14ac:dyDescent="0.35">
      <c r="A490" s="2">
        <f>YEAR(Sales_Dataset[[#This Row],[Order Date]])</f>
        <v>2022</v>
      </c>
      <c r="B490" t="s">
        <v>813</v>
      </c>
    </row>
    <row r="491" spans="1:2" x14ac:dyDescent="0.35">
      <c r="A491" s="2">
        <f>YEAR(Sales_Dataset[[#This Row],[Order Date]])</f>
        <v>2022</v>
      </c>
      <c r="B491" t="s">
        <v>535</v>
      </c>
    </row>
    <row r="492" spans="1:2" x14ac:dyDescent="0.35">
      <c r="A492" s="2">
        <f>YEAR(Sales_Dataset[[#This Row],[Order Date]])</f>
        <v>2022</v>
      </c>
      <c r="B492" t="s">
        <v>485</v>
      </c>
    </row>
    <row r="493" spans="1:2" x14ac:dyDescent="0.35">
      <c r="A493" s="2">
        <f>YEAR(Sales_Dataset[[#This Row],[Order Date]])</f>
        <v>2022</v>
      </c>
      <c r="B493" t="s">
        <v>653</v>
      </c>
    </row>
    <row r="494" spans="1:2" x14ac:dyDescent="0.35">
      <c r="A494" s="2">
        <f>YEAR(Sales_Dataset[[#This Row],[Order Date]])</f>
        <v>2022</v>
      </c>
      <c r="B494" t="s">
        <v>66</v>
      </c>
    </row>
    <row r="495" spans="1:2" x14ac:dyDescent="0.35">
      <c r="A495" s="2">
        <f>YEAR(Sales_Dataset[[#This Row],[Order Date]])</f>
        <v>2022</v>
      </c>
      <c r="B495" t="s">
        <v>387</v>
      </c>
    </row>
    <row r="496" spans="1:2" x14ac:dyDescent="0.35">
      <c r="A496" s="2">
        <f>YEAR(Sales_Dataset[[#This Row],[Order Date]])</f>
        <v>2022</v>
      </c>
      <c r="B496" t="s">
        <v>786</v>
      </c>
    </row>
    <row r="497" spans="1:2" x14ac:dyDescent="0.35">
      <c r="A497" s="2">
        <f>YEAR(Sales_Dataset[[#This Row],[Order Date]])</f>
        <v>2022</v>
      </c>
      <c r="B497" t="s">
        <v>134</v>
      </c>
    </row>
    <row r="498" spans="1:2" x14ac:dyDescent="0.35">
      <c r="A498" s="2">
        <f>YEAR(Sales_Dataset[[#This Row],[Order Date]])</f>
        <v>2022</v>
      </c>
      <c r="B498" t="s">
        <v>445</v>
      </c>
    </row>
    <row r="499" spans="1:2" x14ac:dyDescent="0.35">
      <c r="A499" s="2">
        <f>YEAR(Sales_Dataset[[#This Row],[Order Date]])</f>
        <v>2022</v>
      </c>
      <c r="B499" t="s">
        <v>754</v>
      </c>
    </row>
    <row r="500" spans="1:2" x14ac:dyDescent="0.35">
      <c r="A500" s="2">
        <f>YEAR(Sales_Dataset[[#This Row],[Order Date]])</f>
        <v>2022</v>
      </c>
      <c r="B500" t="s">
        <v>429</v>
      </c>
    </row>
    <row r="501" spans="1:2" x14ac:dyDescent="0.35">
      <c r="A501" s="2">
        <f>YEAR(Sales_Dataset[[#This Row],[Order Date]])</f>
        <v>2022</v>
      </c>
      <c r="B501" t="s">
        <v>95</v>
      </c>
    </row>
    <row r="502" spans="1:2" x14ac:dyDescent="0.35">
      <c r="A502" s="2">
        <f>YEAR(Sales_Dataset[[#This Row],[Order Date]])</f>
        <v>2022</v>
      </c>
      <c r="B502" t="s">
        <v>766</v>
      </c>
    </row>
    <row r="503" spans="1:2" x14ac:dyDescent="0.35">
      <c r="A503" s="2">
        <f>YEAR(Sales_Dataset[[#This Row],[Order Date]])</f>
        <v>2022</v>
      </c>
      <c r="B503" t="s">
        <v>169</v>
      </c>
    </row>
    <row r="504" spans="1:2" x14ac:dyDescent="0.35">
      <c r="A504" s="2">
        <f>YEAR(Sales_Dataset[[#This Row],[Order Date]])</f>
        <v>2022</v>
      </c>
      <c r="B504" t="s">
        <v>588</v>
      </c>
    </row>
    <row r="505" spans="1:2" x14ac:dyDescent="0.35">
      <c r="A505" s="2">
        <f>YEAR(Sales_Dataset[[#This Row],[Order Date]])</f>
        <v>2022</v>
      </c>
      <c r="B505" t="s">
        <v>414</v>
      </c>
    </row>
    <row r="506" spans="1:2" x14ac:dyDescent="0.35">
      <c r="A506" s="2">
        <f>YEAR(Sales_Dataset[[#This Row],[Order Date]])</f>
        <v>2022</v>
      </c>
      <c r="B506" t="s">
        <v>481</v>
      </c>
    </row>
    <row r="507" spans="1:2" x14ac:dyDescent="0.35">
      <c r="A507" s="2">
        <f>YEAR(Sales_Dataset[[#This Row],[Order Date]])</f>
        <v>2022</v>
      </c>
      <c r="B507" t="s">
        <v>269</v>
      </c>
    </row>
    <row r="508" spans="1:2" x14ac:dyDescent="0.35">
      <c r="A508" s="2">
        <f>YEAR(Sales_Dataset[[#This Row],[Order Date]])</f>
        <v>2022</v>
      </c>
      <c r="B508" t="s">
        <v>564</v>
      </c>
    </row>
    <row r="509" spans="1:2" x14ac:dyDescent="0.35">
      <c r="A509" s="2">
        <f>YEAR(Sales_Dataset[[#This Row],[Order Date]])</f>
        <v>2022</v>
      </c>
      <c r="B509" t="s">
        <v>800</v>
      </c>
    </row>
    <row r="510" spans="1:2" x14ac:dyDescent="0.35">
      <c r="A510" s="2">
        <f>YEAR(Sales_Dataset[[#This Row],[Order Date]])</f>
        <v>2022</v>
      </c>
      <c r="B510" t="s">
        <v>92</v>
      </c>
    </row>
    <row r="511" spans="1:2" x14ac:dyDescent="0.35">
      <c r="A511" s="2">
        <f>YEAR(Sales_Dataset[[#This Row],[Order Date]])</f>
        <v>2022</v>
      </c>
      <c r="B511" t="s">
        <v>635</v>
      </c>
    </row>
    <row r="512" spans="1:2" x14ac:dyDescent="0.35">
      <c r="A512" s="2">
        <f>YEAR(Sales_Dataset[[#This Row],[Order Date]])</f>
        <v>2022</v>
      </c>
      <c r="B512" t="s">
        <v>520</v>
      </c>
    </row>
    <row r="513" spans="1:2" x14ac:dyDescent="0.35">
      <c r="A513" s="2">
        <f>YEAR(Sales_Dataset[[#This Row],[Order Date]])</f>
        <v>2022</v>
      </c>
      <c r="B513" t="s">
        <v>557</v>
      </c>
    </row>
    <row r="514" spans="1:2" x14ac:dyDescent="0.35">
      <c r="A514" s="2">
        <f>YEAR(Sales_Dataset[[#This Row],[Order Date]])</f>
        <v>2022</v>
      </c>
      <c r="B514" t="s">
        <v>290</v>
      </c>
    </row>
    <row r="515" spans="1:2" x14ac:dyDescent="0.35">
      <c r="A515" s="2">
        <f>YEAR(Sales_Dataset[[#This Row],[Order Date]])</f>
        <v>2022</v>
      </c>
      <c r="B515" t="s">
        <v>713</v>
      </c>
    </row>
    <row r="516" spans="1:2" x14ac:dyDescent="0.35">
      <c r="A516" s="2">
        <f>YEAR(Sales_Dataset[[#This Row],[Order Date]])</f>
        <v>2022</v>
      </c>
      <c r="B516" t="s">
        <v>59</v>
      </c>
    </row>
    <row r="517" spans="1:2" x14ac:dyDescent="0.35">
      <c r="A517" s="2">
        <f>YEAR(Sales_Dataset[[#This Row],[Order Date]])</f>
        <v>2022</v>
      </c>
      <c r="B517" t="s">
        <v>281</v>
      </c>
    </row>
    <row r="518" spans="1:2" x14ac:dyDescent="0.35">
      <c r="A518" s="2">
        <f>YEAR(Sales_Dataset[[#This Row],[Order Date]])</f>
        <v>2022</v>
      </c>
      <c r="B518" t="s">
        <v>801</v>
      </c>
    </row>
    <row r="519" spans="1:2" x14ac:dyDescent="0.35">
      <c r="A519" s="2">
        <f>YEAR(Sales_Dataset[[#This Row],[Order Date]])</f>
        <v>2022</v>
      </c>
      <c r="B519" t="s">
        <v>369</v>
      </c>
    </row>
    <row r="520" spans="1:2" x14ac:dyDescent="0.35">
      <c r="A520" s="2">
        <f>YEAR(Sales_Dataset[[#This Row],[Order Date]])</f>
        <v>2022</v>
      </c>
      <c r="B520" t="s">
        <v>356</v>
      </c>
    </row>
    <row r="521" spans="1:2" x14ac:dyDescent="0.35">
      <c r="A521" s="2">
        <f>YEAR(Sales_Dataset[[#This Row],[Order Date]])</f>
        <v>2022</v>
      </c>
      <c r="B521" t="s">
        <v>693</v>
      </c>
    </row>
    <row r="522" spans="1:2" x14ac:dyDescent="0.35">
      <c r="A522" s="2">
        <f>YEAR(Sales_Dataset[[#This Row],[Order Date]])</f>
        <v>2022</v>
      </c>
      <c r="B522" t="s">
        <v>675</v>
      </c>
    </row>
    <row r="523" spans="1:2" x14ac:dyDescent="0.35">
      <c r="A523" s="2">
        <f>YEAR(Sales_Dataset[[#This Row],[Order Date]])</f>
        <v>2022</v>
      </c>
      <c r="B523" t="s">
        <v>154</v>
      </c>
    </row>
    <row r="524" spans="1:2" x14ac:dyDescent="0.35">
      <c r="A524" s="2">
        <f>YEAR(Sales_Dataset[[#This Row],[Order Date]])</f>
        <v>2022</v>
      </c>
      <c r="B524" t="s">
        <v>503</v>
      </c>
    </row>
    <row r="525" spans="1:2" x14ac:dyDescent="0.35">
      <c r="A525" s="2">
        <f>YEAR(Sales_Dataset[[#This Row],[Order Date]])</f>
        <v>2022</v>
      </c>
      <c r="B525" t="s">
        <v>537</v>
      </c>
    </row>
    <row r="526" spans="1:2" x14ac:dyDescent="0.35">
      <c r="A526" s="2">
        <f>YEAR(Sales_Dataset[[#This Row],[Order Date]])</f>
        <v>2022</v>
      </c>
      <c r="B526" t="s">
        <v>275</v>
      </c>
    </row>
    <row r="527" spans="1:2" x14ac:dyDescent="0.35">
      <c r="A527" s="2">
        <f>YEAR(Sales_Dataset[[#This Row],[Order Date]])</f>
        <v>2022</v>
      </c>
      <c r="B527" t="s">
        <v>812</v>
      </c>
    </row>
    <row r="528" spans="1:2" x14ac:dyDescent="0.35">
      <c r="A528" s="2">
        <f>YEAR(Sales_Dataset[[#This Row],[Order Date]])</f>
        <v>2022</v>
      </c>
      <c r="B528" t="s">
        <v>577</v>
      </c>
    </row>
    <row r="529" spans="1:2" x14ac:dyDescent="0.35">
      <c r="A529" s="2">
        <f>YEAR(Sales_Dataset[[#This Row],[Order Date]])</f>
        <v>2022</v>
      </c>
      <c r="B529" t="s">
        <v>772</v>
      </c>
    </row>
    <row r="530" spans="1:2" x14ac:dyDescent="0.35">
      <c r="A530" s="2">
        <f>YEAR(Sales_Dataset[[#This Row],[Order Date]])</f>
        <v>2022</v>
      </c>
      <c r="B530" t="s">
        <v>335</v>
      </c>
    </row>
    <row r="531" spans="1:2" x14ac:dyDescent="0.35">
      <c r="A531" s="2">
        <f>YEAR(Sales_Dataset[[#This Row],[Order Date]])</f>
        <v>2022</v>
      </c>
      <c r="B531" t="s">
        <v>8</v>
      </c>
    </row>
    <row r="532" spans="1:2" x14ac:dyDescent="0.35">
      <c r="A532" s="2">
        <f>YEAR(Sales_Dataset[[#This Row],[Order Date]])</f>
        <v>2022</v>
      </c>
      <c r="B532" t="s">
        <v>610</v>
      </c>
    </row>
    <row r="533" spans="1:2" x14ac:dyDescent="0.35">
      <c r="A533" s="2">
        <f>YEAR(Sales_Dataset[[#This Row],[Order Date]])</f>
        <v>2022</v>
      </c>
      <c r="B533" t="s">
        <v>49</v>
      </c>
    </row>
    <row r="534" spans="1:2" x14ac:dyDescent="0.35">
      <c r="A534" s="2">
        <f>YEAR(Sales_Dataset[[#This Row],[Order Date]])</f>
        <v>2022</v>
      </c>
      <c r="B534" t="s">
        <v>618</v>
      </c>
    </row>
    <row r="535" spans="1:2" x14ac:dyDescent="0.35">
      <c r="A535" s="2">
        <f>YEAR(Sales_Dataset[[#This Row],[Order Date]])</f>
        <v>2022</v>
      </c>
      <c r="B535" t="s">
        <v>139</v>
      </c>
    </row>
    <row r="536" spans="1:2" x14ac:dyDescent="0.35">
      <c r="A536" s="2">
        <f>YEAR(Sales_Dataset[[#This Row],[Order Date]])</f>
        <v>2022</v>
      </c>
      <c r="B536" t="s">
        <v>424</v>
      </c>
    </row>
    <row r="537" spans="1:2" x14ac:dyDescent="0.35">
      <c r="A537" s="2">
        <f>YEAR(Sales_Dataset[[#This Row],[Order Date]])</f>
        <v>2022</v>
      </c>
      <c r="B537" t="s">
        <v>70</v>
      </c>
    </row>
    <row r="538" spans="1:2" x14ac:dyDescent="0.35">
      <c r="A538" s="2">
        <f>YEAR(Sales_Dataset[[#This Row],[Order Date]])</f>
        <v>2022</v>
      </c>
      <c r="B538" t="s">
        <v>811</v>
      </c>
    </row>
    <row r="539" spans="1:2" x14ac:dyDescent="0.35">
      <c r="A539" s="2">
        <f>YEAR(Sales_Dataset[[#This Row],[Order Date]])</f>
        <v>2022</v>
      </c>
      <c r="B539" t="s">
        <v>160</v>
      </c>
    </row>
    <row r="540" spans="1:2" x14ac:dyDescent="0.35">
      <c r="A540" s="2">
        <f>YEAR(Sales_Dataset[[#This Row],[Order Date]])</f>
        <v>2022</v>
      </c>
      <c r="B540" t="s">
        <v>82</v>
      </c>
    </row>
    <row r="541" spans="1:2" x14ac:dyDescent="0.35">
      <c r="A541" s="2">
        <f>YEAR(Sales_Dataset[[#This Row],[Order Date]])</f>
        <v>2022</v>
      </c>
      <c r="B541" t="s">
        <v>529</v>
      </c>
    </row>
    <row r="542" spans="1:2" x14ac:dyDescent="0.35">
      <c r="A542" s="2">
        <f>YEAR(Sales_Dataset[[#This Row],[Order Date]])</f>
        <v>2022</v>
      </c>
      <c r="B542" t="s">
        <v>477</v>
      </c>
    </row>
    <row r="543" spans="1:2" x14ac:dyDescent="0.35">
      <c r="A543" s="2">
        <f>YEAR(Sales_Dataset[[#This Row],[Order Date]])</f>
        <v>2022</v>
      </c>
      <c r="B543" t="s">
        <v>472</v>
      </c>
    </row>
    <row r="544" spans="1:2" x14ac:dyDescent="0.35">
      <c r="A544" s="2">
        <f>YEAR(Sales_Dataset[[#This Row],[Order Date]])</f>
        <v>2022</v>
      </c>
      <c r="B544" t="s">
        <v>752</v>
      </c>
    </row>
    <row r="545" spans="1:2" x14ac:dyDescent="0.35">
      <c r="A545" s="2">
        <f>YEAR(Sales_Dataset[[#This Row],[Order Date]])</f>
        <v>2022</v>
      </c>
      <c r="B545" t="s">
        <v>567</v>
      </c>
    </row>
    <row r="546" spans="1:2" x14ac:dyDescent="0.35">
      <c r="A546" s="2">
        <f>YEAR(Sales_Dataset[[#This Row],[Order Date]])</f>
        <v>2022</v>
      </c>
      <c r="B546" t="s">
        <v>580</v>
      </c>
    </row>
    <row r="547" spans="1:2" x14ac:dyDescent="0.35">
      <c r="A547" s="2">
        <f>YEAR(Sales_Dataset[[#This Row],[Order Date]])</f>
        <v>2022</v>
      </c>
      <c r="B547" t="s">
        <v>604</v>
      </c>
    </row>
    <row r="548" spans="1:2" x14ac:dyDescent="0.35">
      <c r="A548" s="2">
        <f>YEAR(Sales_Dataset[[#This Row],[Order Date]])</f>
        <v>2022</v>
      </c>
      <c r="B548" t="s">
        <v>659</v>
      </c>
    </row>
    <row r="549" spans="1:2" x14ac:dyDescent="0.35">
      <c r="A549" s="2">
        <f>YEAR(Sales_Dataset[[#This Row],[Order Date]])</f>
        <v>2022</v>
      </c>
      <c r="B549" t="s">
        <v>426</v>
      </c>
    </row>
    <row r="550" spans="1:2" x14ac:dyDescent="0.35">
      <c r="A550" s="2">
        <f>YEAR(Sales_Dataset[[#This Row],[Order Date]])</f>
        <v>2022</v>
      </c>
      <c r="B550" t="s">
        <v>201</v>
      </c>
    </row>
    <row r="551" spans="1:2" x14ac:dyDescent="0.35">
      <c r="A551" s="2">
        <f>YEAR(Sales_Dataset[[#This Row],[Order Date]])</f>
        <v>2022</v>
      </c>
      <c r="B551" t="s">
        <v>680</v>
      </c>
    </row>
    <row r="552" spans="1:2" x14ac:dyDescent="0.35">
      <c r="A552" s="2">
        <f>YEAR(Sales_Dataset[[#This Row],[Order Date]])</f>
        <v>2022</v>
      </c>
      <c r="B552" t="s">
        <v>734</v>
      </c>
    </row>
    <row r="553" spans="1:2" x14ac:dyDescent="0.35">
      <c r="A553" s="2">
        <f>YEAR(Sales_Dataset[[#This Row],[Order Date]])</f>
        <v>2022</v>
      </c>
      <c r="B553" t="s">
        <v>140</v>
      </c>
    </row>
    <row r="554" spans="1:2" x14ac:dyDescent="0.35">
      <c r="A554" s="2">
        <f>YEAR(Sales_Dataset[[#This Row],[Order Date]])</f>
        <v>2022</v>
      </c>
      <c r="B554" t="s">
        <v>395</v>
      </c>
    </row>
    <row r="555" spans="1:2" x14ac:dyDescent="0.35">
      <c r="A555" s="2">
        <f>YEAR(Sales_Dataset[[#This Row],[Order Date]])</f>
        <v>2022</v>
      </c>
      <c r="B555" t="s">
        <v>810</v>
      </c>
    </row>
    <row r="556" spans="1:2" x14ac:dyDescent="0.35">
      <c r="A556" s="2">
        <f>YEAR(Sales_Dataset[[#This Row],[Order Date]])</f>
        <v>2022</v>
      </c>
      <c r="B556" t="s">
        <v>689</v>
      </c>
    </row>
    <row r="557" spans="1:2" x14ac:dyDescent="0.35">
      <c r="A557" s="2">
        <f>YEAR(Sales_Dataset[[#This Row],[Order Date]])</f>
        <v>2022</v>
      </c>
      <c r="B557" t="s">
        <v>56</v>
      </c>
    </row>
    <row r="558" spans="1:2" x14ac:dyDescent="0.35">
      <c r="A558" s="2">
        <f>YEAR(Sales_Dataset[[#This Row],[Order Date]])</f>
        <v>2022</v>
      </c>
      <c r="B558" t="s">
        <v>256</v>
      </c>
    </row>
    <row r="559" spans="1:2" x14ac:dyDescent="0.35">
      <c r="A559" s="2">
        <f>YEAR(Sales_Dataset[[#This Row],[Order Date]])</f>
        <v>2022</v>
      </c>
      <c r="B559" t="s">
        <v>687</v>
      </c>
    </row>
    <row r="560" spans="1:2" x14ac:dyDescent="0.35">
      <c r="A560" s="2">
        <f>YEAR(Sales_Dataset[[#This Row],[Order Date]])</f>
        <v>2022</v>
      </c>
      <c r="B560" t="s">
        <v>340</v>
      </c>
    </row>
    <row r="561" spans="1:2" x14ac:dyDescent="0.35">
      <c r="A561" s="2">
        <f>YEAR(Sales_Dataset[[#This Row],[Order Date]])</f>
        <v>2022</v>
      </c>
      <c r="B561" t="s">
        <v>316</v>
      </c>
    </row>
    <row r="562" spans="1:2" x14ac:dyDescent="0.35">
      <c r="A562" s="2">
        <f>YEAR(Sales_Dataset[[#This Row],[Order Date]])</f>
        <v>2022</v>
      </c>
      <c r="B562" t="s">
        <v>153</v>
      </c>
    </row>
    <row r="563" spans="1:2" x14ac:dyDescent="0.35">
      <c r="A563" s="2">
        <f>YEAR(Sales_Dataset[[#This Row],[Order Date]])</f>
        <v>2022</v>
      </c>
      <c r="B563" t="s">
        <v>691</v>
      </c>
    </row>
    <row r="564" spans="1:2" x14ac:dyDescent="0.35">
      <c r="A564" s="2">
        <f>YEAR(Sales_Dataset[[#This Row],[Order Date]])</f>
        <v>2022</v>
      </c>
      <c r="B564" t="s">
        <v>364</v>
      </c>
    </row>
    <row r="565" spans="1:2" x14ac:dyDescent="0.35">
      <c r="A565" s="2">
        <f>YEAR(Sales_Dataset[[#This Row],[Order Date]])</f>
        <v>2022</v>
      </c>
      <c r="B565" t="s">
        <v>640</v>
      </c>
    </row>
    <row r="566" spans="1:2" x14ac:dyDescent="0.35">
      <c r="A566" s="2">
        <f>YEAR(Sales_Dataset[[#This Row],[Order Date]])</f>
        <v>2022</v>
      </c>
      <c r="B566" t="s">
        <v>198</v>
      </c>
    </row>
    <row r="567" spans="1:2" x14ac:dyDescent="0.35">
      <c r="A567" s="2">
        <f>YEAR(Sales_Dataset[[#This Row],[Order Date]])</f>
        <v>2022</v>
      </c>
      <c r="B567" t="s">
        <v>343</v>
      </c>
    </row>
    <row r="568" spans="1:2" x14ac:dyDescent="0.35">
      <c r="A568" s="2">
        <f>YEAR(Sales_Dataset[[#This Row],[Order Date]])</f>
        <v>2022</v>
      </c>
      <c r="B568" t="s">
        <v>175</v>
      </c>
    </row>
    <row r="569" spans="1:2" x14ac:dyDescent="0.35">
      <c r="A569" s="2">
        <f>YEAR(Sales_Dataset[[#This Row],[Order Date]])</f>
        <v>2022</v>
      </c>
      <c r="B569" t="s">
        <v>173</v>
      </c>
    </row>
    <row r="570" spans="1:2" x14ac:dyDescent="0.35">
      <c r="A570" s="2">
        <f>YEAR(Sales_Dataset[[#This Row],[Order Date]])</f>
        <v>2022</v>
      </c>
      <c r="B570" t="s">
        <v>131</v>
      </c>
    </row>
    <row r="571" spans="1:2" x14ac:dyDescent="0.35">
      <c r="A571" s="2">
        <f>YEAR(Sales_Dataset[[#This Row],[Order Date]])</f>
        <v>2022</v>
      </c>
      <c r="B571" t="s">
        <v>295</v>
      </c>
    </row>
    <row r="572" spans="1:2" x14ac:dyDescent="0.35">
      <c r="A572" s="2">
        <f>YEAR(Sales_Dataset[[#This Row],[Order Date]])</f>
        <v>2022</v>
      </c>
      <c r="B572" t="s">
        <v>825</v>
      </c>
    </row>
    <row r="573" spans="1:2" x14ac:dyDescent="0.35">
      <c r="A573" s="2">
        <f>YEAR(Sales_Dataset[[#This Row],[Order Date]])</f>
        <v>2022</v>
      </c>
      <c r="B573" t="s">
        <v>582</v>
      </c>
    </row>
    <row r="574" spans="1:2" x14ac:dyDescent="0.35">
      <c r="A574" s="2">
        <f>YEAR(Sales_Dataset[[#This Row],[Order Date]])</f>
        <v>2022</v>
      </c>
      <c r="B574" t="s">
        <v>336</v>
      </c>
    </row>
    <row r="575" spans="1:2" x14ac:dyDescent="0.35">
      <c r="A575" s="2">
        <f>YEAR(Sales_Dataset[[#This Row],[Order Date]])</f>
        <v>2022</v>
      </c>
      <c r="B575" t="s">
        <v>405</v>
      </c>
    </row>
    <row r="576" spans="1:2" x14ac:dyDescent="0.35">
      <c r="A576" s="2">
        <f>YEAR(Sales_Dataset[[#This Row],[Order Date]])</f>
        <v>2022</v>
      </c>
      <c r="B576" t="s">
        <v>545</v>
      </c>
    </row>
    <row r="577" spans="1:2" x14ac:dyDescent="0.35">
      <c r="A577" s="2">
        <f>YEAR(Sales_Dataset[[#This Row],[Order Date]])</f>
        <v>2022</v>
      </c>
      <c r="B577" t="s">
        <v>239</v>
      </c>
    </row>
    <row r="578" spans="1:2" x14ac:dyDescent="0.35">
      <c r="A578" s="2">
        <f>YEAR(Sales_Dataset[[#This Row],[Order Date]])</f>
        <v>2022</v>
      </c>
      <c r="B578" t="s">
        <v>341</v>
      </c>
    </row>
    <row r="579" spans="1:2" x14ac:dyDescent="0.35">
      <c r="A579" s="2">
        <f>YEAR(Sales_Dataset[[#This Row],[Order Date]])</f>
        <v>2022</v>
      </c>
      <c r="B579" t="s">
        <v>223</v>
      </c>
    </row>
    <row r="580" spans="1:2" x14ac:dyDescent="0.35">
      <c r="A580" s="2">
        <f>YEAR(Sales_Dataset[[#This Row],[Order Date]])</f>
        <v>2022</v>
      </c>
      <c r="B580" t="s">
        <v>450</v>
      </c>
    </row>
    <row r="581" spans="1:2" x14ac:dyDescent="0.35">
      <c r="A581" s="2">
        <f>YEAR(Sales_Dataset[[#This Row],[Order Date]])</f>
        <v>2022</v>
      </c>
      <c r="B581" t="s">
        <v>658</v>
      </c>
    </row>
    <row r="582" spans="1:2" x14ac:dyDescent="0.35">
      <c r="A582" s="2">
        <f>YEAR(Sales_Dataset[[#This Row],[Order Date]])</f>
        <v>2022</v>
      </c>
      <c r="B582" t="s">
        <v>276</v>
      </c>
    </row>
    <row r="583" spans="1:2" x14ac:dyDescent="0.35">
      <c r="A583" s="2">
        <f>YEAR(Sales_Dataset[[#This Row],[Order Date]])</f>
        <v>2022</v>
      </c>
      <c r="B583" t="s">
        <v>797</v>
      </c>
    </row>
    <row r="584" spans="1:2" x14ac:dyDescent="0.35">
      <c r="A584" s="2">
        <f>YEAR(Sales_Dataset[[#This Row],[Order Date]])</f>
        <v>2022</v>
      </c>
      <c r="B584" t="s">
        <v>403</v>
      </c>
    </row>
    <row r="585" spans="1:2" x14ac:dyDescent="0.35">
      <c r="A585" s="2">
        <f>YEAR(Sales_Dataset[[#This Row],[Order Date]])</f>
        <v>2022</v>
      </c>
      <c r="B585" t="s">
        <v>471</v>
      </c>
    </row>
    <row r="586" spans="1:2" x14ac:dyDescent="0.35">
      <c r="A586" s="2">
        <f>YEAR(Sales_Dataset[[#This Row],[Order Date]])</f>
        <v>2022</v>
      </c>
      <c r="B586" t="s">
        <v>482</v>
      </c>
    </row>
    <row r="587" spans="1:2" x14ac:dyDescent="0.35">
      <c r="A587" s="2">
        <f>YEAR(Sales_Dataset[[#This Row],[Order Date]])</f>
        <v>2022</v>
      </c>
      <c r="B587" t="s">
        <v>225</v>
      </c>
    </row>
    <row r="588" spans="1:2" x14ac:dyDescent="0.35">
      <c r="A588" s="2">
        <f>YEAR(Sales_Dataset[[#This Row],[Order Date]])</f>
        <v>2022</v>
      </c>
      <c r="B588" t="s">
        <v>672</v>
      </c>
    </row>
    <row r="589" spans="1:2" x14ac:dyDescent="0.35">
      <c r="A589" s="2">
        <f>YEAR(Sales_Dataset[[#This Row],[Order Date]])</f>
        <v>2022</v>
      </c>
      <c r="B589" t="s">
        <v>430</v>
      </c>
    </row>
    <row r="590" spans="1:2" x14ac:dyDescent="0.35">
      <c r="A590" s="2">
        <f>YEAR(Sales_Dataset[[#This Row],[Order Date]])</f>
        <v>2022</v>
      </c>
      <c r="B590" t="s">
        <v>506</v>
      </c>
    </row>
    <row r="591" spans="1:2" x14ac:dyDescent="0.35">
      <c r="A591" s="2">
        <f>YEAR(Sales_Dataset[[#This Row],[Order Date]])</f>
        <v>2022</v>
      </c>
      <c r="B591" t="s">
        <v>638</v>
      </c>
    </row>
    <row r="592" spans="1:2" x14ac:dyDescent="0.35">
      <c r="A592" s="2">
        <f>YEAR(Sales_Dataset[[#This Row],[Order Date]])</f>
        <v>2022</v>
      </c>
      <c r="B592" t="s">
        <v>370</v>
      </c>
    </row>
    <row r="593" spans="1:2" x14ac:dyDescent="0.35">
      <c r="A593" s="2">
        <f>YEAR(Sales_Dataset[[#This Row],[Order Date]])</f>
        <v>2022</v>
      </c>
      <c r="B593" t="s">
        <v>333</v>
      </c>
    </row>
    <row r="594" spans="1:2" x14ac:dyDescent="0.35">
      <c r="A594" s="2">
        <f>YEAR(Sales_Dataset[[#This Row],[Order Date]])</f>
        <v>2022</v>
      </c>
      <c r="B594" t="s">
        <v>570</v>
      </c>
    </row>
    <row r="595" spans="1:2" x14ac:dyDescent="0.35">
      <c r="A595" s="2">
        <f>YEAR(Sales_Dataset[[#This Row],[Order Date]])</f>
        <v>2022</v>
      </c>
      <c r="B595" t="s">
        <v>32</v>
      </c>
    </row>
    <row r="596" spans="1:2" x14ac:dyDescent="0.35">
      <c r="A596" s="2">
        <f>YEAR(Sales_Dataset[[#This Row],[Order Date]])</f>
        <v>2022</v>
      </c>
      <c r="B596" t="s">
        <v>26</v>
      </c>
    </row>
    <row r="597" spans="1:2" x14ac:dyDescent="0.35">
      <c r="A597" s="2">
        <f>YEAR(Sales_Dataset[[#This Row],[Order Date]])</f>
        <v>2022</v>
      </c>
      <c r="B597" t="s">
        <v>334</v>
      </c>
    </row>
    <row r="598" spans="1:2" x14ac:dyDescent="0.35">
      <c r="A598" s="2">
        <f>YEAR(Sales_Dataset[[#This Row],[Order Date]])</f>
        <v>2022</v>
      </c>
      <c r="B598" t="s">
        <v>757</v>
      </c>
    </row>
    <row r="599" spans="1:2" x14ac:dyDescent="0.35">
      <c r="A599" s="2">
        <f>YEAR(Sales_Dataset[[#This Row],[Order Date]])</f>
        <v>2022</v>
      </c>
      <c r="B599" t="s">
        <v>787</v>
      </c>
    </row>
    <row r="600" spans="1:2" x14ac:dyDescent="0.35">
      <c r="A600" s="2">
        <f>YEAR(Sales_Dataset[[#This Row],[Order Date]])</f>
        <v>2022</v>
      </c>
      <c r="B600" t="s">
        <v>608</v>
      </c>
    </row>
    <row r="601" spans="1:2" x14ac:dyDescent="0.35">
      <c r="A601" s="2">
        <f>YEAR(Sales_Dataset[[#This Row],[Order Date]])</f>
        <v>2022</v>
      </c>
      <c r="B601" t="s">
        <v>463</v>
      </c>
    </row>
    <row r="602" spans="1:2" x14ac:dyDescent="0.35">
      <c r="A602" s="2">
        <f>YEAR(Sales_Dataset[[#This Row],[Order Date]])</f>
        <v>2022</v>
      </c>
      <c r="B602" t="s">
        <v>741</v>
      </c>
    </row>
    <row r="603" spans="1:2" x14ac:dyDescent="0.35">
      <c r="A603" s="2">
        <f>YEAR(Sales_Dataset[[#This Row],[Order Date]])</f>
        <v>2022</v>
      </c>
      <c r="B603" t="s">
        <v>788</v>
      </c>
    </row>
    <row r="604" spans="1:2" x14ac:dyDescent="0.35">
      <c r="A604" s="2">
        <f>YEAR(Sales_Dataset[[#This Row],[Order Date]])</f>
        <v>2022</v>
      </c>
      <c r="B604" t="s">
        <v>555</v>
      </c>
    </row>
    <row r="605" spans="1:2" x14ac:dyDescent="0.35">
      <c r="A605" s="2">
        <f>YEAR(Sales_Dataset[[#This Row],[Order Date]])</f>
        <v>2022</v>
      </c>
      <c r="B605" t="s">
        <v>400</v>
      </c>
    </row>
    <row r="606" spans="1:2" x14ac:dyDescent="0.35">
      <c r="A606" s="2">
        <f>YEAR(Sales_Dataset[[#This Row],[Order Date]])</f>
        <v>2022</v>
      </c>
      <c r="B606" t="s">
        <v>219</v>
      </c>
    </row>
    <row r="607" spans="1:2" x14ac:dyDescent="0.35">
      <c r="A607" s="2">
        <f>YEAR(Sales_Dataset[[#This Row],[Order Date]])</f>
        <v>2022</v>
      </c>
      <c r="B607" t="s">
        <v>668</v>
      </c>
    </row>
    <row r="608" spans="1:2" x14ac:dyDescent="0.35">
      <c r="A608" s="2">
        <f>YEAR(Sales_Dataset[[#This Row],[Order Date]])</f>
        <v>2022</v>
      </c>
      <c r="B608" t="s">
        <v>210</v>
      </c>
    </row>
    <row r="609" spans="1:2" x14ac:dyDescent="0.35">
      <c r="A609" s="2">
        <f>YEAR(Sales_Dataset[[#This Row],[Order Date]])</f>
        <v>2022</v>
      </c>
      <c r="B609" t="s">
        <v>289</v>
      </c>
    </row>
    <row r="610" spans="1:2" x14ac:dyDescent="0.35">
      <c r="A610" s="2">
        <f>YEAR(Sales_Dataset[[#This Row],[Order Date]])</f>
        <v>2022</v>
      </c>
      <c r="B610" t="s">
        <v>48</v>
      </c>
    </row>
    <row r="611" spans="1:2" x14ac:dyDescent="0.35">
      <c r="A611" s="2">
        <f>YEAR(Sales_Dataset[[#This Row],[Order Date]])</f>
        <v>2022</v>
      </c>
      <c r="B611" t="s">
        <v>594</v>
      </c>
    </row>
    <row r="612" spans="1:2" x14ac:dyDescent="0.35">
      <c r="A612" s="2">
        <f>YEAR(Sales_Dataset[[#This Row],[Order Date]])</f>
        <v>2022</v>
      </c>
      <c r="B612" t="s">
        <v>118</v>
      </c>
    </row>
    <row r="613" spans="1:2" x14ac:dyDescent="0.35">
      <c r="A613" s="2">
        <f>YEAR(Sales_Dataset[[#This Row],[Order Date]])</f>
        <v>2022</v>
      </c>
      <c r="B613" t="s">
        <v>516</v>
      </c>
    </row>
    <row r="614" spans="1:2" x14ac:dyDescent="0.35">
      <c r="A614" s="2">
        <f>YEAR(Sales_Dataset[[#This Row],[Order Date]])</f>
        <v>2022</v>
      </c>
      <c r="B614" t="s">
        <v>135</v>
      </c>
    </row>
    <row r="615" spans="1:2" x14ac:dyDescent="0.35">
      <c r="A615" s="2">
        <f>YEAR(Sales_Dataset[[#This Row],[Order Date]])</f>
        <v>2022</v>
      </c>
      <c r="B615" t="s">
        <v>576</v>
      </c>
    </row>
    <row r="616" spans="1:2" x14ac:dyDescent="0.35">
      <c r="A616" s="2">
        <f>YEAR(Sales_Dataset[[#This Row],[Order Date]])</f>
        <v>2022</v>
      </c>
      <c r="B616" t="s">
        <v>447</v>
      </c>
    </row>
    <row r="617" spans="1:2" x14ac:dyDescent="0.35">
      <c r="A617" s="2">
        <f>YEAR(Sales_Dataset[[#This Row],[Order Date]])</f>
        <v>2022</v>
      </c>
      <c r="B617" t="s">
        <v>553</v>
      </c>
    </row>
    <row r="618" spans="1:2" x14ac:dyDescent="0.35">
      <c r="A618" s="2">
        <f>YEAR(Sales_Dataset[[#This Row],[Order Date]])</f>
        <v>2022</v>
      </c>
      <c r="B618" t="s">
        <v>641</v>
      </c>
    </row>
    <row r="619" spans="1:2" x14ac:dyDescent="0.35">
      <c r="A619" s="2">
        <f>YEAR(Sales_Dataset[[#This Row],[Order Date]])</f>
        <v>2022</v>
      </c>
      <c r="B619" t="s">
        <v>261</v>
      </c>
    </row>
    <row r="620" spans="1:2" x14ac:dyDescent="0.35">
      <c r="A620" s="2">
        <f>YEAR(Sales_Dataset[[#This Row],[Order Date]])</f>
        <v>2022</v>
      </c>
      <c r="B620" t="s">
        <v>763</v>
      </c>
    </row>
    <row r="621" spans="1:2" x14ac:dyDescent="0.35">
      <c r="A621" s="2">
        <f>YEAR(Sales_Dataset[[#This Row],[Order Date]])</f>
        <v>2022</v>
      </c>
      <c r="B621" t="s">
        <v>736</v>
      </c>
    </row>
    <row r="622" spans="1:2" x14ac:dyDescent="0.35">
      <c r="A622" s="2">
        <f>YEAR(Sales_Dataset[[#This Row],[Order Date]])</f>
        <v>2022</v>
      </c>
      <c r="B622" t="s">
        <v>324</v>
      </c>
    </row>
    <row r="623" spans="1:2" x14ac:dyDescent="0.35">
      <c r="A623" s="2">
        <f>YEAR(Sales_Dataset[[#This Row],[Order Date]])</f>
        <v>2022</v>
      </c>
      <c r="B623" t="s">
        <v>283</v>
      </c>
    </row>
    <row r="624" spans="1:2" x14ac:dyDescent="0.35">
      <c r="A624" s="2">
        <f>YEAR(Sales_Dataset[[#This Row],[Order Date]])</f>
        <v>2022</v>
      </c>
      <c r="B624" t="s">
        <v>37</v>
      </c>
    </row>
    <row r="625" spans="1:2" x14ac:dyDescent="0.35">
      <c r="A625" s="2">
        <f>YEAR(Sales_Dataset[[#This Row],[Order Date]])</f>
        <v>2022</v>
      </c>
      <c r="B625" t="s">
        <v>236</v>
      </c>
    </row>
    <row r="626" spans="1:2" x14ac:dyDescent="0.35">
      <c r="A626" s="2">
        <f>YEAR(Sales_Dataset[[#This Row],[Order Date]])</f>
        <v>2022</v>
      </c>
      <c r="B626" t="s">
        <v>67</v>
      </c>
    </row>
    <row r="627" spans="1:2" x14ac:dyDescent="0.35">
      <c r="A627" s="2">
        <f>YEAR(Sales_Dataset[[#This Row],[Order Date]])</f>
        <v>2022</v>
      </c>
      <c r="B627" t="s">
        <v>104</v>
      </c>
    </row>
    <row r="628" spans="1:2" x14ac:dyDescent="0.35">
      <c r="A628" s="2">
        <f>YEAR(Sales_Dataset[[#This Row],[Order Date]])</f>
        <v>2022</v>
      </c>
      <c r="B628" t="s">
        <v>220</v>
      </c>
    </row>
    <row r="629" spans="1:2" x14ac:dyDescent="0.35">
      <c r="A629" s="2">
        <f>YEAR(Sales_Dataset[[#This Row],[Order Date]])</f>
        <v>2022</v>
      </c>
      <c r="B629" t="s">
        <v>770</v>
      </c>
    </row>
    <row r="630" spans="1:2" x14ac:dyDescent="0.35">
      <c r="A630" s="2">
        <f>YEAR(Sales_Dataset[[#This Row],[Order Date]])</f>
        <v>2022</v>
      </c>
      <c r="B630" t="s">
        <v>775</v>
      </c>
    </row>
    <row r="631" spans="1:2" x14ac:dyDescent="0.35">
      <c r="A631" s="2">
        <f>YEAR(Sales_Dataset[[#This Row],[Order Date]])</f>
        <v>2022</v>
      </c>
      <c r="B631" t="s">
        <v>454</v>
      </c>
    </row>
    <row r="632" spans="1:2" x14ac:dyDescent="0.35">
      <c r="A632" s="2">
        <f>YEAR(Sales_Dataset[[#This Row],[Order Date]])</f>
        <v>2022</v>
      </c>
      <c r="B632" t="s">
        <v>409</v>
      </c>
    </row>
    <row r="633" spans="1:2" x14ac:dyDescent="0.35">
      <c r="A633" s="2">
        <f>YEAR(Sales_Dataset[[#This Row],[Order Date]])</f>
        <v>2022</v>
      </c>
      <c r="B633" t="s">
        <v>732</v>
      </c>
    </row>
    <row r="634" spans="1:2" x14ac:dyDescent="0.35">
      <c r="A634" s="2">
        <f>YEAR(Sales_Dataset[[#This Row],[Order Date]])</f>
        <v>2022</v>
      </c>
      <c r="B634" t="s">
        <v>319</v>
      </c>
    </row>
    <row r="635" spans="1:2" x14ac:dyDescent="0.35">
      <c r="A635" s="2">
        <f>YEAR(Sales_Dataset[[#This Row],[Order Date]])</f>
        <v>2022</v>
      </c>
      <c r="B635" t="s">
        <v>699</v>
      </c>
    </row>
    <row r="636" spans="1:2" x14ac:dyDescent="0.35">
      <c r="A636" s="2">
        <f>YEAR(Sales_Dataset[[#This Row],[Order Date]])</f>
        <v>2022</v>
      </c>
      <c r="B636" t="s">
        <v>102</v>
      </c>
    </row>
    <row r="637" spans="1:2" x14ac:dyDescent="0.35">
      <c r="A637" s="2">
        <f>YEAR(Sales_Dataset[[#This Row],[Order Date]])</f>
        <v>2022</v>
      </c>
      <c r="B637" t="s">
        <v>558</v>
      </c>
    </row>
    <row r="638" spans="1:2" x14ac:dyDescent="0.35">
      <c r="A638" s="2">
        <f>YEAR(Sales_Dataset[[#This Row],[Order Date]])</f>
        <v>2022</v>
      </c>
      <c r="B638" t="s">
        <v>428</v>
      </c>
    </row>
    <row r="639" spans="1:2" x14ac:dyDescent="0.35">
      <c r="A639" s="2">
        <f>YEAR(Sales_Dataset[[#This Row],[Order Date]])</f>
        <v>2022</v>
      </c>
      <c r="B639" t="s">
        <v>720</v>
      </c>
    </row>
    <row r="640" spans="1:2" x14ac:dyDescent="0.35">
      <c r="A640" s="2">
        <f>YEAR(Sales_Dataset[[#This Row],[Order Date]])</f>
        <v>2022</v>
      </c>
      <c r="B640" t="s">
        <v>207</v>
      </c>
    </row>
    <row r="641" spans="1:2" x14ac:dyDescent="0.35">
      <c r="A641" s="2">
        <f>YEAR(Sales_Dataset[[#This Row],[Order Date]])</f>
        <v>2022</v>
      </c>
      <c r="B641" t="s">
        <v>436</v>
      </c>
    </row>
    <row r="642" spans="1:2" x14ac:dyDescent="0.35">
      <c r="A642" s="2">
        <f>YEAR(Sales_Dataset[[#This Row],[Order Date]])</f>
        <v>2022</v>
      </c>
      <c r="B642" t="s">
        <v>185</v>
      </c>
    </row>
    <row r="643" spans="1:2" x14ac:dyDescent="0.35">
      <c r="A643" s="2">
        <f>YEAR(Sales_Dataset[[#This Row],[Order Date]])</f>
        <v>2022</v>
      </c>
      <c r="B643" t="s">
        <v>657</v>
      </c>
    </row>
    <row r="644" spans="1:2" x14ac:dyDescent="0.35">
      <c r="A644" s="2">
        <f>YEAR(Sales_Dataset[[#This Row],[Order Date]])</f>
        <v>2022</v>
      </c>
      <c r="B644" t="s">
        <v>544</v>
      </c>
    </row>
    <row r="645" spans="1:2" x14ac:dyDescent="0.35">
      <c r="A645" s="2">
        <f>YEAR(Sales_Dataset[[#This Row],[Order Date]])</f>
        <v>2022</v>
      </c>
      <c r="B645" t="s">
        <v>702</v>
      </c>
    </row>
    <row r="646" spans="1:2" x14ac:dyDescent="0.35">
      <c r="A646" s="2">
        <f>YEAR(Sales_Dataset[[#This Row],[Order Date]])</f>
        <v>2022</v>
      </c>
      <c r="B646" t="s">
        <v>714</v>
      </c>
    </row>
    <row r="647" spans="1:2" x14ac:dyDescent="0.35">
      <c r="A647" s="2">
        <f>YEAR(Sales_Dataset[[#This Row],[Order Date]])</f>
        <v>2022</v>
      </c>
      <c r="B647" t="s">
        <v>183</v>
      </c>
    </row>
    <row r="648" spans="1:2" x14ac:dyDescent="0.35">
      <c r="A648" s="2">
        <f>YEAR(Sales_Dataset[[#This Row],[Order Date]])</f>
        <v>2022</v>
      </c>
      <c r="B648" t="s">
        <v>625</v>
      </c>
    </row>
    <row r="649" spans="1:2" x14ac:dyDescent="0.35">
      <c r="A649" s="2">
        <f>YEAR(Sales_Dataset[[#This Row],[Order Date]])</f>
        <v>2022</v>
      </c>
      <c r="B649" t="s">
        <v>181</v>
      </c>
    </row>
    <row r="650" spans="1:2" x14ac:dyDescent="0.35">
      <c r="A650" s="2">
        <f>YEAR(Sales_Dataset[[#This Row],[Order Date]])</f>
        <v>2022</v>
      </c>
      <c r="B650" t="s">
        <v>715</v>
      </c>
    </row>
    <row r="651" spans="1:2" x14ac:dyDescent="0.35">
      <c r="A651" s="2">
        <f>YEAR(Sales_Dataset[[#This Row],[Order Date]])</f>
        <v>2022</v>
      </c>
      <c r="B651" t="s">
        <v>500</v>
      </c>
    </row>
    <row r="652" spans="1:2" x14ac:dyDescent="0.35">
      <c r="A652" s="2">
        <f>YEAR(Sales_Dataset[[#This Row],[Order Date]])</f>
        <v>2022</v>
      </c>
      <c r="B652" t="s">
        <v>378</v>
      </c>
    </row>
    <row r="653" spans="1:2" x14ac:dyDescent="0.35">
      <c r="A653" s="2">
        <f>YEAR(Sales_Dataset[[#This Row],[Order Date]])</f>
        <v>2022</v>
      </c>
      <c r="B653" t="s">
        <v>166</v>
      </c>
    </row>
    <row r="654" spans="1:2" x14ac:dyDescent="0.35">
      <c r="A654" s="2">
        <f>YEAR(Sales_Dataset[[#This Row],[Order Date]])</f>
        <v>2022</v>
      </c>
      <c r="B654" t="s">
        <v>613</v>
      </c>
    </row>
    <row r="655" spans="1:2" x14ac:dyDescent="0.35">
      <c r="A655" s="2">
        <f>YEAR(Sales_Dataset[[#This Row],[Order Date]])</f>
        <v>2022</v>
      </c>
      <c r="B655" t="s">
        <v>647</v>
      </c>
    </row>
    <row r="656" spans="1:2" x14ac:dyDescent="0.35">
      <c r="A656" s="2">
        <f>YEAR(Sales_Dataset[[#This Row],[Order Date]])</f>
        <v>2022</v>
      </c>
      <c r="B656" t="s">
        <v>285</v>
      </c>
    </row>
    <row r="657" spans="1:2" x14ac:dyDescent="0.35">
      <c r="A657" s="2">
        <f>YEAR(Sales_Dataset[[#This Row],[Order Date]])</f>
        <v>2022</v>
      </c>
      <c r="B657" t="s">
        <v>643</v>
      </c>
    </row>
    <row r="658" spans="1:2" x14ac:dyDescent="0.35">
      <c r="A658" s="2">
        <f>YEAR(Sales_Dataset[[#This Row],[Order Date]])</f>
        <v>2022</v>
      </c>
      <c r="B658" t="s">
        <v>817</v>
      </c>
    </row>
    <row r="659" spans="1:2" x14ac:dyDescent="0.35">
      <c r="A659" s="2">
        <f>YEAR(Sales_Dataset[[#This Row],[Order Date]])</f>
        <v>2022</v>
      </c>
      <c r="B659" t="s">
        <v>250</v>
      </c>
    </row>
    <row r="660" spans="1:2" x14ac:dyDescent="0.35">
      <c r="A660" s="2">
        <f>YEAR(Sales_Dataset[[#This Row],[Order Date]])</f>
        <v>2022</v>
      </c>
      <c r="B660" t="s">
        <v>515</v>
      </c>
    </row>
    <row r="661" spans="1:2" x14ac:dyDescent="0.35">
      <c r="A661" s="2">
        <f>YEAR(Sales_Dataset[[#This Row],[Order Date]])</f>
        <v>2022</v>
      </c>
      <c r="B661" t="s">
        <v>376</v>
      </c>
    </row>
    <row r="662" spans="1:2" x14ac:dyDescent="0.35">
      <c r="A662" s="2">
        <f>YEAR(Sales_Dataset[[#This Row],[Order Date]])</f>
        <v>2022</v>
      </c>
      <c r="B662" t="s">
        <v>233</v>
      </c>
    </row>
    <row r="663" spans="1:2" x14ac:dyDescent="0.35">
      <c r="A663" s="2">
        <f>YEAR(Sales_Dataset[[#This Row],[Order Date]])</f>
        <v>2022</v>
      </c>
      <c r="B663" t="s">
        <v>533</v>
      </c>
    </row>
    <row r="664" spans="1:2" x14ac:dyDescent="0.35">
      <c r="A664" s="2">
        <f>YEAR(Sales_Dataset[[#This Row],[Order Date]])</f>
        <v>2022</v>
      </c>
      <c r="B664" t="s">
        <v>571</v>
      </c>
    </row>
    <row r="665" spans="1:2" x14ac:dyDescent="0.35">
      <c r="A665" s="2">
        <f>YEAR(Sales_Dataset[[#This Row],[Order Date]])</f>
        <v>2022</v>
      </c>
      <c r="B665" t="s">
        <v>664</v>
      </c>
    </row>
    <row r="666" spans="1:2" x14ac:dyDescent="0.35">
      <c r="A666" s="2">
        <f>YEAR(Sales_Dataset[[#This Row],[Order Date]])</f>
        <v>2022</v>
      </c>
      <c r="B666" t="s">
        <v>383</v>
      </c>
    </row>
    <row r="667" spans="1:2" x14ac:dyDescent="0.35">
      <c r="A667" s="2">
        <f>YEAR(Sales_Dataset[[#This Row],[Order Date]])</f>
        <v>2022</v>
      </c>
      <c r="B667" t="s">
        <v>362</v>
      </c>
    </row>
    <row r="668" spans="1:2" x14ac:dyDescent="0.35">
      <c r="A668" s="2">
        <f>YEAR(Sales_Dataset[[#This Row],[Order Date]])</f>
        <v>2022</v>
      </c>
      <c r="B668" t="s">
        <v>422</v>
      </c>
    </row>
    <row r="669" spans="1:2" x14ac:dyDescent="0.35">
      <c r="A669" s="2">
        <f>YEAR(Sales_Dataset[[#This Row],[Order Date]])</f>
        <v>2022</v>
      </c>
      <c r="B669" t="s">
        <v>111</v>
      </c>
    </row>
    <row r="670" spans="1:2" x14ac:dyDescent="0.35">
      <c r="A670" s="2">
        <f>YEAR(Sales_Dataset[[#This Row],[Order Date]])</f>
        <v>2022</v>
      </c>
      <c r="B670" t="s">
        <v>514</v>
      </c>
    </row>
    <row r="671" spans="1:2" x14ac:dyDescent="0.35">
      <c r="A671" s="2">
        <f>YEAR(Sales_Dataset[[#This Row],[Order Date]])</f>
        <v>2022</v>
      </c>
      <c r="B671" t="s">
        <v>218</v>
      </c>
    </row>
    <row r="672" spans="1:2" x14ac:dyDescent="0.35">
      <c r="A672" s="2">
        <f>YEAR(Sales_Dataset[[#This Row],[Order Date]])</f>
        <v>2022</v>
      </c>
      <c r="B672" t="s">
        <v>392</v>
      </c>
    </row>
    <row r="673" spans="1:2" x14ac:dyDescent="0.35">
      <c r="A673" s="2">
        <f>YEAR(Sales_Dataset[[#This Row],[Order Date]])</f>
        <v>2022</v>
      </c>
      <c r="B673" t="s">
        <v>517</v>
      </c>
    </row>
    <row r="674" spans="1:2" x14ac:dyDescent="0.35">
      <c r="A674" s="2">
        <f>YEAR(Sales_Dataset[[#This Row],[Order Date]])</f>
        <v>2022</v>
      </c>
      <c r="B674" t="s">
        <v>212</v>
      </c>
    </row>
    <row r="675" spans="1:2" x14ac:dyDescent="0.35">
      <c r="A675" s="2">
        <f>YEAR(Sales_Dataset[[#This Row],[Order Date]])</f>
        <v>2022</v>
      </c>
      <c r="B675" t="s">
        <v>642</v>
      </c>
    </row>
    <row r="676" spans="1:2" x14ac:dyDescent="0.35">
      <c r="A676" s="2">
        <f>YEAR(Sales_Dataset[[#This Row],[Order Date]])</f>
        <v>2022</v>
      </c>
      <c r="B676" t="s">
        <v>17</v>
      </c>
    </row>
    <row r="677" spans="1:2" x14ac:dyDescent="0.35">
      <c r="A677" s="2">
        <f>YEAR(Sales_Dataset[[#This Row],[Order Date]])</f>
        <v>2022</v>
      </c>
      <c r="B677" t="s">
        <v>328</v>
      </c>
    </row>
    <row r="678" spans="1:2" x14ac:dyDescent="0.35">
      <c r="A678" s="2">
        <f>YEAR(Sales_Dataset[[#This Row],[Order Date]])</f>
        <v>2023</v>
      </c>
      <c r="B678" t="s">
        <v>171</v>
      </c>
    </row>
    <row r="679" spans="1:2" x14ac:dyDescent="0.35">
      <c r="A679" s="2">
        <f>YEAR(Sales_Dataset[[#This Row],[Order Date]])</f>
        <v>2023</v>
      </c>
      <c r="B679" t="s">
        <v>119</v>
      </c>
    </row>
    <row r="680" spans="1:2" x14ac:dyDescent="0.35">
      <c r="A680" s="2">
        <f>YEAR(Sales_Dataset[[#This Row],[Order Date]])</f>
        <v>2023</v>
      </c>
      <c r="B680" t="s">
        <v>789</v>
      </c>
    </row>
    <row r="681" spans="1:2" x14ac:dyDescent="0.35">
      <c r="A681" s="2">
        <f>YEAR(Sales_Dataset[[#This Row],[Order Date]])</f>
        <v>2023</v>
      </c>
      <c r="B681" t="s">
        <v>747</v>
      </c>
    </row>
    <row r="682" spans="1:2" x14ac:dyDescent="0.35">
      <c r="A682" s="2">
        <f>YEAR(Sales_Dataset[[#This Row],[Order Date]])</f>
        <v>2023</v>
      </c>
      <c r="B682" t="s">
        <v>790</v>
      </c>
    </row>
    <row r="683" spans="1:2" x14ac:dyDescent="0.35">
      <c r="A683" s="2">
        <f>YEAR(Sales_Dataset[[#This Row],[Order Date]])</f>
        <v>2023</v>
      </c>
      <c r="B683" t="s">
        <v>452</v>
      </c>
    </row>
    <row r="684" spans="1:2" x14ac:dyDescent="0.35">
      <c r="A684" s="2">
        <f>YEAR(Sales_Dataset[[#This Row],[Order Date]])</f>
        <v>2023</v>
      </c>
      <c r="B684" t="s">
        <v>366</v>
      </c>
    </row>
    <row r="685" spans="1:2" x14ac:dyDescent="0.35">
      <c r="A685" s="2">
        <f>YEAR(Sales_Dataset[[#This Row],[Order Date]])</f>
        <v>2023</v>
      </c>
      <c r="B685" t="s">
        <v>695</v>
      </c>
    </row>
    <row r="686" spans="1:2" x14ac:dyDescent="0.35">
      <c r="A686" s="2">
        <f>YEAR(Sales_Dataset[[#This Row],[Order Date]])</f>
        <v>2023</v>
      </c>
      <c r="B686" t="s">
        <v>390</v>
      </c>
    </row>
    <row r="687" spans="1:2" x14ac:dyDescent="0.35">
      <c r="A687" s="2">
        <f>YEAR(Sales_Dataset[[#This Row],[Order Date]])</f>
        <v>2023</v>
      </c>
      <c r="B687" t="s">
        <v>815</v>
      </c>
    </row>
    <row r="688" spans="1:2" x14ac:dyDescent="0.35">
      <c r="A688" s="2">
        <f>YEAR(Sales_Dataset[[#This Row],[Order Date]])</f>
        <v>2023</v>
      </c>
      <c r="B688" t="s">
        <v>40</v>
      </c>
    </row>
    <row r="689" spans="1:2" x14ac:dyDescent="0.35">
      <c r="A689" s="2">
        <f>YEAR(Sales_Dataset[[#This Row],[Order Date]])</f>
        <v>2023</v>
      </c>
      <c r="B689" t="s">
        <v>126</v>
      </c>
    </row>
    <row r="690" spans="1:2" x14ac:dyDescent="0.35">
      <c r="A690" s="2">
        <f>YEAR(Sales_Dataset[[#This Row],[Order Date]])</f>
        <v>2023</v>
      </c>
      <c r="B690" t="s">
        <v>385</v>
      </c>
    </row>
    <row r="691" spans="1:2" x14ac:dyDescent="0.35">
      <c r="A691" s="2">
        <f>YEAR(Sales_Dataset[[#This Row],[Order Date]])</f>
        <v>2023</v>
      </c>
      <c r="B691" t="s">
        <v>222</v>
      </c>
    </row>
    <row r="692" spans="1:2" x14ac:dyDescent="0.35">
      <c r="A692" s="2">
        <f>YEAR(Sales_Dataset[[#This Row],[Order Date]])</f>
        <v>2023</v>
      </c>
      <c r="B692" t="s">
        <v>633</v>
      </c>
    </row>
    <row r="693" spans="1:2" x14ac:dyDescent="0.35">
      <c r="A693" s="2">
        <f>YEAR(Sales_Dataset[[#This Row],[Order Date]])</f>
        <v>2023</v>
      </c>
      <c r="B693" t="s">
        <v>278</v>
      </c>
    </row>
    <row r="694" spans="1:2" x14ac:dyDescent="0.35">
      <c r="A694" s="2">
        <f>YEAR(Sales_Dataset[[#This Row],[Order Date]])</f>
        <v>2023</v>
      </c>
      <c r="B694" t="s">
        <v>244</v>
      </c>
    </row>
    <row r="695" spans="1:2" x14ac:dyDescent="0.35">
      <c r="A695" s="2">
        <f>YEAR(Sales_Dataset[[#This Row],[Order Date]])</f>
        <v>2023</v>
      </c>
      <c r="B695" t="s">
        <v>729</v>
      </c>
    </row>
    <row r="696" spans="1:2" x14ac:dyDescent="0.35">
      <c r="A696" s="2">
        <f>YEAR(Sales_Dataset[[#This Row],[Order Date]])</f>
        <v>2023</v>
      </c>
      <c r="B696" t="s">
        <v>802</v>
      </c>
    </row>
    <row r="697" spans="1:2" x14ac:dyDescent="0.35">
      <c r="A697" s="2">
        <f>YEAR(Sales_Dataset[[#This Row],[Order Date]])</f>
        <v>2023</v>
      </c>
      <c r="B697" t="s">
        <v>229</v>
      </c>
    </row>
    <row r="698" spans="1:2" x14ac:dyDescent="0.35">
      <c r="A698" s="2">
        <f>YEAR(Sales_Dataset[[#This Row],[Order Date]])</f>
        <v>2023</v>
      </c>
      <c r="B698" t="s">
        <v>309</v>
      </c>
    </row>
    <row r="699" spans="1:2" x14ac:dyDescent="0.35">
      <c r="A699" s="2">
        <f>YEAR(Sales_Dataset[[#This Row],[Order Date]])</f>
        <v>2023</v>
      </c>
      <c r="B699" t="s">
        <v>474</v>
      </c>
    </row>
    <row r="700" spans="1:2" x14ac:dyDescent="0.35">
      <c r="A700" s="2">
        <f>YEAR(Sales_Dataset[[#This Row],[Order Date]])</f>
        <v>2023</v>
      </c>
      <c r="B700" t="s">
        <v>531</v>
      </c>
    </row>
    <row r="701" spans="1:2" x14ac:dyDescent="0.35">
      <c r="A701" s="2">
        <f>YEAR(Sales_Dataset[[#This Row],[Order Date]])</f>
        <v>2023</v>
      </c>
      <c r="B701" t="s">
        <v>221</v>
      </c>
    </row>
    <row r="702" spans="1:2" x14ac:dyDescent="0.35">
      <c r="A702" s="2">
        <f>YEAR(Sales_Dataset[[#This Row],[Order Date]])</f>
        <v>2023</v>
      </c>
      <c r="B702" t="s">
        <v>125</v>
      </c>
    </row>
    <row r="703" spans="1:2" x14ac:dyDescent="0.35">
      <c r="A703" s="2">
        <f>YEAR(Sales_Dataset[[#This Row],[Order Date]])</f>
        <v>2023</v>
      </c>
      <c r="B703" t="s">
        <v>667</v>
      </c>
    </row>
    <row r="704" spans="1:2" x14ac:dyDescent="0.35">
      <c r="A704" s="2">
        <f>YEAR(Sales_Dataset[[#This Row],[Order Date]])</f>
        <v>2023</v>
      </c>
      <c r="B704" t="s">
        <v>312</v>
      </c>
    </row>
    <row r="705" spans="1:2" x14ac:dyDescent="0.35">
      <c r="A705" s="2">
        <f>YEAR(Sales_Dataset[[#This Row],[Order Date]])</f>
        <v>2023</v>
      </c>
      <c r="B705" t="s">
        <v>101</v>
      </c>
    </row>
    <row r="706" spans="1:2" x14ac:dyDescent="0.35">
      <c r="A706" s="2">
        <f>YEAR(Sales_Dataset[[#This Row],[Order Date]])</f>
        <v>2023</v>
      </c>
      <c r="B706" t="s">
        <v>590</v>
      </c>
    </row>
    <row r="707" spans="1:2" x14ac:dyDescent="0.35">
      <c r="A707" s="2">
        <f>YEAR(Sales_Dataset[[#This Row],[Order Date]])</f>
        <v>2023</v>
      </c>
      <c r="B707" t="s">
        <v>435</v>
      </c>
    </row>
    <row r="708" spans="1:2" x14ac:dyDescent="0.35">
      <c r="A708" s="2">
        <f>YEAR(Sales_Dataset[[#This Row],[Order Date]])</f>
        <v>2023</v>
      </c>
      <c r="B708" t="s">
        <v>124</v>
      </c>
    </row>
    <row r="709" spans="1:2" x14ac:dyDescent="0.35">
      <c r="A709" s="2">
        <f>YEAR(Sales_Dataset[[#This Row],[Order Date]])</f>
        <v>2023</v>
      </c>
      <c r="B709" t="s">
        <v>603</v>
      </c>
    </row>
    <row r="710" spans="1:2" x14ac:dyDescent="0.35">
      <c r="A710" s="2">
        <f>YEAR(Sales_Dataset[[#This Row],[Order Date]])</f>
        <v>2023</v>
      </c>
      <c r="B710" t="s">
        <v>442</v>
      </c>
    </row>
    <row r="711" spans="1:2" x14ac:dyDescent="0.35">
      <c r="A711" s="2">
        <f>YEAR(Sales_Dataset[[#This Row],[Order Date]])</f>
        <v>2023</v>
      </c>
      <c r="B711" t="s">
        <v>107</v>
      </c>
    </row>
    <row r="712" spans="1:2" x14ac:dyDescent="0.35">
      <c r="A712" s="2">
        <f>YEAR(Sales_Dataset[[#This Row],[Order Date]])</f>
        <v>2023</v>
      </c>
      <c r="B712" t="s">
        <v>346</v>
      </c>
    </row>
    <row r="713" spans="1:2" x14ac:dyDescent="0.35">
      <c r="A713" s="2">
        <f>YEAR(Sales_Dataset[[#This Row],[Order Date]])</f>
        <v>2023</v>
      </c>
      <c r="B713" t="s">
        <v>168</v>
      </c>
    </row>
    <row r="714" spans="1:2" x14ac:dyDescent="0.35">
      <c r="A714" s="2">
        <f>YEAR(Sales_Dataset[[#This Row],[Order Date]])</f>
        <v>2023</v>
      </c>
      <c r="B714" t="s">
        <v>145</v>
      </c>
    </row>
    <row r="715" spans="1:2" x14ac:dyDescent="0.35">
      <c r="A715" s="2">
        <f>YEAR(Sales_Dataset[[#This Row],[Order Date]])</f>
        <v>2023</v>
      </c>
      <c r="B715" t="s">
        <v>528</v>
      </c>
    </row>
    <row r="716" spans="1:2" x14ac:dyDescent="0.35">
      <c r="A716" s="2">
        <f>YEAR(Sales_Dataset[[#This Row],[Order Date]])</f>
        <v>2023</v>
      </c>
      <c r="B716" t="s">
        <v>433</v>
      </c>
    </row>
    <row r="717" spans="1:2" x14ac:dyDescent="0.35">
      <c r="A717" s="2">
        <f>YEAR(Sales_Dataset[[#This Row],[Order Date]])</f>
        <v>2023</v>
      </c>
      <c r="B717" t="s">
        <v>425</v>
      </c>
    </row>
    <row r="718" spans="1:2" x14ac:dyDescent="0.35">
      <c r="A718" s="2">
        <f>YEAR(Sales_Dataset[[#This Row],[Order Date]])</f>
        <v>2023</v>
      </c>
      <c r="B718" t="s">
        <v>623</v>
      </c>
    </row>
    <row r="719" spans="1:2" x14ac:dyDescent="0.35">
      <c r="A719" s="2">
        <f>YEAR(Sales_Dataset[[#This Row],[Order Date]])</f>
        <v>2023</v>
      </c>
      <c r="B719" t="s">
        <v>826</v>
      </c>
    </row>
    <row r="720" spans="1:2" x14ac:dyDescent="0.35">
      <c r="A720" s="2">
        <f>YEAR(Sales_Dataset[[#This Row],[Order Date]])</f>
        <v>2023</v>
      </c>
      <c r="B720" t="s">
        <v>674</v>
      </c>
    </row>
    <row r="721" spans="1:2" x14ac:dyDescent="0.35">
      <c r="A721" s="2">
        <f>YEAR(Sales_Dataset[[#This Row],[Order Date]])</f>
        <v>2023</v>
      </c>
      <c r="B721" t="s">
        <v>53</v>
      </c>
    </row>
    <row r="722" spans="1:2" x14ac:dyDescent="0.35">
      <c r="A722" s="2">
        <f>YEAR(Sales_Dataset[[#This Row],[Order Date]])</f>
        <v>2023</v>
      </c>
      <c r="B722" t="s">
        <v>761</v>
      </c>
    </row>
    <row r="723" spans="1:2" x14ac:dyDescent="0.35">
      <c r="A723" s="2">
        <f>YEAR(Sales_Dataset[[#This Row],[Order Date]])</f>
        <v>2023</v>
      </c>
      <c r="B723" t="s">
        <v>270</v>
      </c>
    </row>
    <row r="724" spans="1:2" x14ac:dyDescent="0.35">
      <c r="A724" s="2">
        <f>YEAR(Sales_Dataset[[#This Row],[Order Date]])</f>
        <v>2023</v>
      </c>
      <c r="B724" t="s">
        <v>416</v>
      </c>
    </row>
    <row r="725" spans="1:2" x14ac:dyDescent="0.35">
      <c r="A725" s="2">
        <f>YEAR(Sales_Dataset[[#This Row],[Order Date]])</f>
        <v>2023</v>
      </c>
      <c r="B725" t="s">
        <v>597</v>
      </c>
    </row>
    <row r="726" spans="1:2" x14ac:dyDescent="0.35">
      <c r="A726" s="2">
        <f>YEAR(Sales_Dataset[[#This Row],[Order Date]])</f>
        <v>2023</v>
      </c>
      <c r="B726" t="s">
        <v>242</v>
      </c>
    </row>
    <row r="727" spans="1:2" x14ac:dyDescent="0.35">
      <c r="A727" s="2">
        <f>YEAR(Sales_Dataset[[#This Row],[Order Date]])</f>
        <v>2023</v>
      </c>
      <c r="B727" t="s">
        <v>248</v>
      </c>
    </row>
    <row r="728" spans="1:2" x14ac:dyDescent="0.35">
      <c r="A728" s="2">
        <f>YEAR(Sales_Dataset[[#This Row],[Order Date]])</f>
        <v>2023</v>
      </c>
      <c r="B728" t="s">
        <v>498</v>
      </c>
    </row>
    <row r="729" spans="1:2" x14ac:dyDescent="0.35">
      <c r="A729" s="2">
        <f>YEAR(Sales_Dataset[[#This Row],[Order Date]])</f>
        <v>2023</v>
      </c>
      <c r="B729" t="s">
        <v>614</v>
      </c>
    </row>
    <row r="730" spans="1:2" x14ac:dyDescent="0.35">
      <c r="A730" s="2">
        <f>YEAR(Sales_Dataset[[#This Row],[Order Date]])</f>
        <v>2023</v>
      </c>
      <c r="B730" t="s">
        <v>99</v>
      </c>
    </row>
    <row r="731" spans="1:2" x14ac:dyDescent="0.35">
      <c r="A731" s="2">
        <f>YEAR(Sales_Dataset[[#This Row],[Order Date]])</f>
        <v>2023</v>
      </c>
      <c r="B731" t="s">
        <v>176</v>
      </c>
    </row>
    <row r="732" spans="1:2" x14ac:dyDescent="0.35">
      <c r="A732" s="2">
        <f>YEAR(Sales_Dataset[[#This Row],[Order Date]])</f>
        <v>2023</v>
      </c>
      <c r="B732" t="s">
        <v>460</v>
      </c>
    </row>
    <row r="733" spans="1:2" x14ac:dyDescent="0.35">
      <c r="A733" s="2">
        <f>YEAR(Sales_Dataset[[#This Row],[Order Date]])</f>
        <v>2023</v>
      </c>
      <c r="B733" t="s">
        <v>628</v>
      </c>
    </row>
    <row r="734" spans="1:2" x14ac:dyDescent="0.35">
      <c r="A734" s="2">
        <f>YEAR(Sales_Dataset[[#This Row],[Order Date]])</f>
        <v>2023</v>
      </c>
      <c r="B734" t="s">
        <v>799</v>
      </c>
    </row>
    <row r="735" spans="1:2" x14ac:dyDescent="0.35">
      <c r="A735" s="2">
        <f>YEAR(Sales_Dataset[[#This Row],[Order Date]])</f>
        <v>2023</v>
      </c>
      <c r="B735" t="s">
        <v>91</v>
      </c>
    </row>
    <row r="736" spans="1:2" x14ac:dyDescent="0.35">
      <c r="A736" s="2">
        <f>YEAR(Sales_Dataset[[#This Row],[Order Date]])</f>
        <v>2023</v>
      </c>
      <c r="B736" t="s">
        <v>777</v>
      </c>
    </row>
    <row r="737" spans="1:2" x14ac:dyDescent="0.35">
      <c r="A737" s="2">
        <f>YEAR(Sales_Dataset[[#This Row],[Order Date]])</f>
        <v>2023</v>
      </c>
      <c r="B737" t="s">
        <v>347</v>
      </c>
    </row>
    <row r="738" spans="1:2" x14ac:dyDescent="0.35">
      <c r="A738" s="2">
        <f>YEAR(Sales_Dataset[[#This Row],[Order Date]])</f>
        <v>2023</v>
      </c>
      <c r="B738" t="s">
        <v>72</v>
      </c>
    </row>
    <row r="739" spans="1:2" x14ac:dyDescent="0.35">
      <c r="A739" s="2">
        <f>YEAR(Sales_Dataset[[#This Row],[Order Date]])</f>
        <v>2023</v>
      </c>
      <c r="B739" t="s">
        <v>311</v>
      </c>
    </row>
    <row r="740" spans="1:2" x14ac:dyDescent="0.35">
      <c r="A740" s="2">
        <f>YEAR(Sales_Dataset[[#This Row],[Order Date]])</f>
        <v>2023</v>
      </c>
      <c r="B740" t="s">
        <v>427</v>
      </c>
    </row>
    <row r="741" spans="1:2" x14ac:dyDescent="0.35">
      <c r="A741" s="2">
        <f>YEAR(Sales_Dataset[[#This Row],[Order Date]])</f>
        <v>2023</v>
      </c>
      <c r="B741" t="s">
        <v>507</v>
      </c>
    </row>
    <row r="742" spans="1:2" x14ac:dyDescent="0.35">
      <c r="A742" s="2">
        <f>YEAR(Sales_Dataset[[#This Row],[Order Date]])</f>
        <v>2023</v>
      </c>
      <c r="B742" t="s">
        <v>521</v>
      </c>
    </row>
    <row r="743" spans="1:2" x14ac:dyDescent="0.35">
      <c r="A743" s="2">
        <f>YEAR(Sales_Dataset[[#This Row],[Order Date]])</f>
        <v>2023</v>
      </c>
      <c r="B743" t="s">
        <v>592</v>
      </c>
    </row>
    <row r="744" spans="1:2" x14ac:dyDescent="0.35">
      <c r="A744" s="2">
        <f>YEAR(Sales_Dataset[[#This Row],[Order Date]])</f>
        <v>2023</v>
      </c>
      <c r="B744" t="s">
        <v>768</v>
      </c>
    </row>
    <row r="745" spans="1:2" x14ac:dyDescent="0.35">
      <c r="A745" s="2">
        <f>YEAR(Sales_Dataset[[#This Row],[Order Date]])</f>
        <v>2023</v>
      </c>
      <c r="B745" t="s">
        <v>784</v>
      </c>
    </row>
    <row r="746" spans="1:2" x14ac:dyDescent="0.35">
      <c r="A746" s="2">
        <f>YEAR(Sales_Dataset[[#This Row],[Order Date]])</f>
        <v>2023</v>
      </c>
      <c r="B746" t="s">
        <v>179</v>
      </c>
    </row>
    <row r="747" spans="1:2" x14ac:dyDescent="0.35">
      <c r="A747" s="2">
        <f>YEAR(Sales_Dataset[[#This Row],[Order Date]])</f>
        <v>2023</v>
      </c>
      <c r="B747" t="s">
        <v>486</v>
      </c>
    </row>
    <row r="748" spans="1:2" x14ac:dyDescent="0.35">
      <c r="A748" s="2">
        <f>YEAR(Sales_Dataset[[#This Row],[Order Date]])</f>
        <v>2023</v>
      </c>
      <c r="B748" t="s">
        <v>676</v>
      </c>
    </row>
    <row r="749" spans="1:2" x14ac:dyDescent="0.35">
      <c r="A749" s="2">
        <f>YEAR(Sales_Dataset[[#This Row],[Order Date]])</f>
        <v>2023</v>
      </c>
      <c r="B749" t="s">
        <v>830</v>
      </c>
    </row>
    <row r="750" spans="1:2" x14ac:dyDescent="0.35">
      <c r="A750" s="2">
        <f>YEAR(Sales_Dataset[[#This Row],[Order Date]])</f>
        <v>2023</v>
      </c>
      <c r="B750" t="s">
        <v>573</v>
      </c>
    </row>
    <row r="751" spans="1:2" x14ac:dyDescent="0.35">
      <c r="A751" s="2">
        <f>YEAR(Sales_Dataset[[#This Row],[Order Date]])</f>
        <v>2023</v>
      </c>
      <c r="B751" t="s">
        <v>122</v>
      </c>
    </row>
    <row r="752" spans="1:2" x14ac:dyDescent="0.35">
      <c r="A752" s="2">
        <f>YEAR(Sales_Dataset[[#This Row],[Order Date]])</f>
        <v>2023</v>
      </c>
      <c r="B752" t="s">
        <v>795</v>
      </c>
    </row>
    <row r="753" spans="1:2" x14ac:dyDescent="0.35">
      <c r="A753" s="2">
        <f>YEAR(Sales_Dataset[[#This Row],[Order Date]])</f>
        <v>2023</v>
      </c>
      <c r="B753" t="s">
        <v>491</v>
      </c>
    </row>
    <row r="754" spans="1:2" x14ac:dyDescent="0.35">
      <c r="A754" s="2">
        <f>YEAR(Sales_Dataset[[#This Row],[Order Date]])</f>
        <v>2023</v>
      </c>
      <c r="B754" t="s">
        <v>518</v>
      </c>
    </row>
    <row r="755" spans="1:2" x14ac:dyDescent="0.35">
      <c r="A755" s="2">
        <f>YEAR(Sales_Dataset[[#This Row],[Order Date]])</f>
        <v>2023</v>
      </c>
      <c r="B755" t="s">
        <v>589</v>
      </c>
    </row>
    <row r="756" spans="1:2" x14ac:dyDescent="0.35">
      <c r="A756" s="2">
        <f>YEAR(Sales_Dataset[[#This Row],[Order Date]])</f>
        <v>2023</v>
      </c>
      <c r="B756" t="s">
        <v>469</v>
      </c>
    </row>
    <row r="757" spans="1:2" x14ac:dyDescent="0.35">
      <c r="A757" s="2">
        <f>YEAR(Sales_Dataset[[#This Row],[Order Date]])</f>
        <v>2023</v>
      </c>
      <c r="B757" t="s">
        <v>304</v>
      </c>
    </row>
    <row r="758" spans="1:2" x14ac:dyDescent="0.35">
      <c r="A758" s="2">
        <f>YEAR(Sales_Dataset[[#This Row],[Order Date]])</f>
        <v>2023</v>
      </c>
      <c r="B758" t="s">
        <v>574</v>
      </c>
    </row>
    <row r="759" spans="1:2" x14ac:dyDescent="0.35">
      <c r="A759" s="2">
        <f>YEAR(Sales_Dataset[[#This Row],[Order Date]])</f>
        <v>2023</v>
      </c>
      <c r="B759" t="s">
        <v>669</v>
      </c>
    </row>
    <row r="760" spans="1:2" x14ac:dyDescent="0.35">
      <c r="A760" s="2">
        <f>YEAR(Sales_Dataset[[#This Row],[Order Date]])</f>
        <v>2023</v>
      </c>
      <c r="B760" t="s">
        <v>505</v>
      </c>
    </row>
    <row r="761" spans="1:2" x14ac:dyDescent="0.35">
      <c r="A761" s="2">
        <f>YEAR(Sales_Dataset[[#This Row],[Order Date]])</f>
        <v>2023</v>
      </c>
      <c r="B761" t="s">
        <v>146</v>
      </c>
    </row>
    <row r="762" spans="1:2" x14ac:dyDescent="0.35">
      <c r="A762" s="2">
        <f>YEAR(Sales_Dataset[[#This Row],[Order Date]])</f>
        <v>2023</v>
      </c>
      <c r="B762" t="s">
        <v>86</v>
      </c>
    </row>
    <row r="763" spans="1:2" x14ac:dyDescent="0.35">
      <c r="A763" s="2">
        <f>YEAR(Sales_Dataset[[#This Row],[Order Date]])</f>
        <v>2023</v>
      </c>
      <c r="B763" t="s">
        <v>368</v>
      </c>
    </row>
    <row r="764" spans="1:2" x14ac:dyDescent="0.35">
      <c r="A764" s="2">
        <f>YEAR(Sales_Dataset[[#This Row],[Order Date]])</f>
        <v>2023</v>
      </c>
      <c r="B764" t="s">
        <v>65</v>
      </c>
    </row>
    <row r="765" spans="1:2" x14ac:dyDescent="0.35">
      <c r="A765" s="2">
        <f>YEAR(Sales_Dataset[[#This Row],[Order Date]])</f>
        <v>2023</v>
      </c>
      <c r="B765" t="s">
        <v>682</v>
      </c>
    </row>
    <row r="766" spans="1:2" x14ac:dyDescent="0.35">
      <c r="A766" s="2">
        <f>YEAR(Sales_Dataset[[#This Row],[Order Date]])</f>
        <v>2023</v>
      </c>
      <c r="B766" t="s">
        <v>245</v>
      </c>
    </row>
    <row r="767" spans="1:2" x14ac:dyDescent="0.35">
      <c r="A767" s="2">
        <f>YEAR(Sales_Dataset[[#This Row],[Order Date]])</f>
        <v>2023</v>
      </c>
      <c r="B767" t="s">
        <v>560</v>
      </c>
    </row>
    <row r="768" spans="1:2" x14ac:dyDescent="0.35">
      <c r="A768" s="2">
        <f>YEAR(Sales_Dataset[[#This Row],[Order Date]])</f>
        <v>2023</v>
      </c>
      <c r="B768" t="s">
        <v>296</v>
      </c>
    </row>
    <row r="769" spans="1:2" x14ac:dyDescent="0.35">
      <c r="A769" s="2">
        <f>YEAR(Sales_Dataset[[#This Row],[Order Date]])</f>
        <v>2023</v>
      </c>
      <c r="B769" t="s">
        <v>12</v>
      </c>
    </row>
    <row r="770" spans="1:2" x14ac:dyDescent="0.35">
      <c r="A770" s="2">
        <f>YEAR(Sales_Dataset[[#This Row],[Order Date]])</f>
        <v>2023</v>
      </c>
      <c r="B770" t="s">
        <v>57</v>
      </c>
    </row>
    <row r="771" spans="1:2" x14ac:dyDescent="0.35">
      <c r="A771" s="2">
        <f>YEAR(Sales_Dataset[[#This Row],[Order Date]])</f>
        <v>2023</v>
      </c>
      <c r="B771" t="s">
        <v>157</v>
      </c>
    </row>
    <row r="772" spans="1:2" x14ac:dyDescent="0.35">
      <c r="A772" s="2">
        <f>YEAR(Sales_Dataset[[#This Row],[Order Date]])</f>
        <v>2023</v>
      </c>
      <c r="B772" t="s">
        <v>808</v>
      </c>
    </row>
    <row r="773" spans="1:2" x14ac:dyDescent="0.35">
      <c r="A773" s="2">
        <f>YEAR(Sales_Dataset[[#This Row],[Order Date]])</f>
        <v>2023</v>
      </c>
      <c r="B773" t="s">
        <v>655</v>
      </c>
    </row>
    <row r="774" spans="1:2" x14ac:dyDescent="0.35">
      <c r="A774" s="2">
        <f>YEAR(Sales_Dataset[[#This Row],[Order Date]])</f>
        <v>2023</v>
      </c>
      <c r="B774" t="s">
        <v>34</v>
      </c>
    </row>
    <row r="775" spans="1:2" x14ac:dyDescent="0.35">
      <c r="A775" s="2">
        <f>YEAR(Sales_Dataset[[#This Row],[Order Date]])</f>
        <v>2023</v>
      </c>
      <c r="B775" t="s">
        <v>437</v>
      </c>
    </row>
    <row r="776" spans="1:2" x14ac:dyDescent="0.35">
      <c r="A776" s="2">
        <f>YEAR(Sales_Dataset[[#This Row],[Order Date]])</f>
        <v>2023</v>
      </c>
      <c r="B776" t="s">
        <v>150</v>
      </c>
    </row>
    <row r="777" spans="1:2" x14ac:dyDescent="0.35">
      <c r="A777" s="2">
        <f>YEAR(Sales_Dataset[[#This Row],[Order Date]])</f>
        <v>2023</v>
      </c>
      <c r="B777" t="s">
        <v>792</v>
      </c>
    </row>
    <row r="778" spans="1:2" x14ac:dyDescent="0.35">
      <c r="A778" s="2">
        <f>YEAR(Sales_Dataset[[#This Row],[Order Date]])</f>
        <v>2023</v>
      </c>
      <c r="B778" t="s">
        <v>600</v>
      </c>
    </row>
    <row r="779" spans="1:2" x14ac:dyDescent="0.35">
      <c r="A779" s="2">
        <f>YEAR(Sales_Dataset[[#This Row],[Order Date]])</f>
        <v>2023</v>
      </c>
      <c r="B779" t="s">
        <v>804</v>
      </c>
    </row>
    <row r="780" spans="1:2" x14ac:dyDescent="0.35">
      <c r="A780" s="2">
        <f>YEAR(Sales_Dataset[[#This Row],[Order Date]])</f>
        <v>2023</v>
      </c>
      <c r="B780" t="s">
        <v>496</v>
      </c>
    </row>
    <row r="781" spans="1:2" x14ac:dyDescent="0.35">
      <c r="A781" s="2">
        <f>YEAR(Sales_Dataset[[#This Row],[Order Date]])</f>
        <v>2023</v>
      </c>
      <c r="B781" t="s">
        <v>584</v>
      </c>
    </row>
    <row r="782" spans="1:2" x14ac:dyDescent="0.35">
      <c r="A782" s="2">
        <f>YEAR(Sales_Dataset[[#This Row],[Order Date]])</f>
        <v>2023</v>
      </c>
      <c r="B782" t="s">
        <v>709</v>
      </c>
    </row>
    <row r="783" spans="1:2" x14ac:dyDescent="0.35">
      <c r="A783" s="2">
        <f>YEAR(Sales_Dataset[[#This Row],[Order Date]])</f>
        <v>2023</v>
      </c>
      <c r="B783" t="s">
        <v>386</v>
      </c>
    </row>
    <row r="784" spans="1:2" x14ac:dyDescent="0.35">
      <c r="A784" s="2">
        <f>YEAR(Sales_Dataset[[#This Row],[Order Date]])</f>
        <v>2023</v>
      </c>
      <c r="B784" t="s">
        <v>739</v>
      </c>
    </row>
    <row r="785" spans="1:2" x14ac:dyDescent="0.35">
      <c r="A785" s="2">
        <f>YEAR(Sales_Dataset[[#This Row],[Order Date]])</f>
        <v>2023</v>
      </c>
      <c r="B785" t="s">
        <v>273</v>
      </c>
    </row>
    <row r="786" spans="1:2" x14ac:dyDescent="0.35">
      <c r="A786" s="2">
        <f>YEAR(Sales_Dataset[[#This Row],[Order Date]])</f>
        <v>2023</v>
      </c>
      <c r="B786" t="s">
        <v>583</v>
      </c>
    </row>
    <row r="787" spans="1:2" x14ac:dyDescent="0.35">
      <c r="A787" s="2">
        <f>YEAR(Sales_Dataset[[#This Row],[Order Date]])</f>
        <v>2023</v>
      </c>
      <c r="B787" t="s">
        <v>579</v>
      </c>
    </row>
    <row r="788" spans="1:2" x14ac:dyDescent="0.35">
      <c r="A788" s="2">
        <f>YEAR(Sales_Dataset[[#This Row],[Order Date]])</f>
        <v>2023</v>
      </c>
      <c r="B788" t="s">
        <v>205</v>
      </c>
    </row>
    <row r="789" spans="1:2" x14ac:dyDescent="0.35">
      <c r="A789" s="2">
        <f>YEAR(Sales_Dataset[[#This Row],[Order Date]])</f>
        <v>2023</v>
      </c>
      <c r="B789" t="s">
        <v>348</v>
      </c>
    </row>
    <row r="790" spans="1:2" x14ac:dyDescent="0.35">
      <c r="A790" s="2">
        <f>YEAR(Sales_Dataset[[#This Row],[Order Date]])</f>
        <v>2023</v>
      </c>
      <c r="B790" t="s">
        <v>410</v>
      </c>
    </row>
    <row r="791" spans="1:2" x14ac:dyDescent="0.35">
      <c r="A791" s="2">
        <f>YEAR(Sales_Dataset[[#This Row],[Order Date]])</f>
        <v>2023</v>
      </c>
      <c r="B791" t="s">
        <v>382</v>
      </c>
    </row>
    <row r="792" spans="1:2" x14ac:dyDescent="0.35">
      <c r="A792" s="2">
        <f>YEAR(Sales_Dataset[[#This Row],[Order Date]])</f>
        <v>2023</v>
      </c>
      <c r="B792" t="s">
        <v>35</v>
      </c>
    </row>
    <row r="793" spans="1:2" x14ac:dyDescent="0.35">
      <c r="A793" s="2">
        <f>YEAR(Sales_Dataset[[#This Row],[Order Date]])</f>
        <v>2023</v>
      </c>
      <c r="B793" t="s">
        <v>710</v>
      </c>
    </row>
    <row r="794" spans="1:2" x14ac:dyDescent="0.35">
      <c r="A794" s="2">
        <f>YEAR(Sales_Dataset[[#This Row],[Order Date]])</f>
        <v>2023</v>
      </c>
      <c r="B794" t="s">
        <v>458</v>
      </c>
    </row>
    <row r="795" spans="1:2" x14ac:dyDescent="0.35">
      <c r="A795" s="2">
        <f>YEAR(Sales_Dataset[[#This Row],[Order Date]])</f>
        <v>2023</v>
      </c>
      <c r="B795" t="s">
        <v>493</v>
      </c>
    </row>
    <row r="796" spans="1:2" x14ac:dyDescent="0.35">
      <c r="A796" s="2">
        <f>YEAR(Sales_Dataset[[#This Row],[Order Date]])</f>
        <v>2023</v>
      </c>
      <c r="B796" t="s">
        <v>167</v>
      </c>
    </row>
    <row r="797" spans="1:2" x14ac:dyDescent="0.35">
      <c r="A797" s="2">
        <f>YEAR(Sales_Dataset[[#This Row],[Order Date]])</f>
        <v>2023</v>
      </c>
      <c r="B797" t="s">
        <v>306</v>
      </c>
    </row>
    <row r="798" spans="1:2" x14ac:dyDescent="0.35">
      <c r="A798" s="2">
        <f>YEAR(Sales_Dataset[[#This Row],[Order Date]])</f>
        <v>2023</v>
      </c>
      <c r="B798" t="s">
        <v>478</v>
      </c>
    </row>
    <row r="799" spans="1:2" x14ac:dyDescent="0.35">
      <c r="A799" s="2">
        <f>YEAR(Sales_Dataset[[#This Row],[Order Date]])</f>
        <v>2023</v>
      </c>
      <c r="B799" t="s">
        <v>726</v>
      </c>
    </row>
    <row r="800" spans="1:2" x14ac:dyDescent="0.35">
      <c r="A800" s="2">
        <f>YEAR(Sales_Dataset[[#This Row],[Order Date]])</f>
        <v>2023</v>
      </c>
      <c r="B800" t="s">
        <v>510</v>
      </c>
    </row>
    <row r="801" spans="1:2" x14ac:dyDescent="0.35">
      <c r="A801" s="2">
        <f>YEAR(Sales_Dataset[[#This Row],[Order Date]])</f>
        <v>2023</v>
      </c>
      <c r="B801" t="s">
        <v>706</v>
      </c>
    </row>
    <row r="802" spans="1:2" x14ac:dyDescent="0.35">
      <c r="A802" s="2">
        <f>YEAR(Sales_Dataset[[#This Row],[Order Date]])</f>
        <v>2023</v>
      </c>
      <c r="B802" t="s">
        <v>673</v>
      </c>
    </row>
    <row r="803" spans="1:2" x14ac:dyDescent="0.35">
      <c r="A803" s="2">
        <f>YEAR(Sales_Dataset[[#This Row],[Order Date]])</f>
        <v>2023</v>
      </c>
      <c r="B803" t="s">
        <v>308</v>
      </c>
    </row>
    <row r="804" spans="1:2" x14ac:dyDescent="0.35">
      <c r="A804" s="2">
        <f>YEAR(Sales_Dataset[[#This Row],[Order Date]])</f>
        <v>2023</v>
      </c>
      <c r="B804" t="s">
        <v>360</v>
      </c>
    </row>
    <row r="805" spans="1:2" x14ac:dyDescent="0.35">
      <c r="A805" s="2">
        <f>YEAR(Sales_Dataset[[#This Row],[Order Date]])</f>
        <v>2023</v>
      </c>
      <c r="B805" t="s">
        <v>71</v>
      </c>
    </row>
    <row r="806" spans="1:2" x14ac:dyDescent="0.35">
      <c r="A806" s="2">
        <f>YEAR(Sales_Dataset[[#This Row],[Order Date]])</f>
        <v>2023</v>
      </c>
      <c r="B806" t="s">
        <v>265</v>
      </c>
    </row>
    <row r="807" spans="1:2" x14ac:dyDescent="0.35">
      <c r="A807" s="2">
        <f>YEAR(Sales_Dataset[[#This Row],[Order Date]])</f>
        <v>2023</v>
      </c>
      <c r="B807" t="s">
        <v>596</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65E3-1990-4E29-B8C1-B2FA84246C6D}">
  <sheetPr>
    <pageSetUpPr fitToPage="1"/>
  </sheetPr>
  <dimension ref="A1"/>
  <sheetViews>
    <sheetView tabSelected="1" topLeftCell="A6" zoomScale="52" workbookViewId="0">
      <selection activeCell="S56" sqref="S56"/>
    </sheetView>
  </sheetViews>
  <sheetFormatPr defaultRowHeight="14.5" x14ac:dyDescent="0.35"/>
  <cols>
    <col min="1" max="16384" width="8.7265625" style="8"/>
  </cols>
  <sheetData/>
  <sheetProtection algorithmName="SHA-512" hashValue="dLN8iGdqmXq6R1a8c8QIxnJmpg4z4CCf8UtUJec8QYzQG33is5Z4RMBnwzzjDEPEXf4319qW+mqmfiff+HdWWQ==" saltValue="l2SIt3pfL5Mz8ycl4cjJ+g==" spinCount="100000" sheet="1" objects="1" scenarios="1"/>
  <pageMargins left="0.25" right="0.25" top="0.75" bottom="0.75" header="0.3" footer="0.3"/>
  <pageSetup scale="84" fitToWidth="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4A1EEE-2342-4F26-A92C-28D69B7478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Sales Dataset</vt:lpstr>
      <vt:lpstr>Customer 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Kaml Mirza</dc:creator>
  <cp:lastModifiedBy>Kaml Mirza</cp:lastModifiedBy>
  <cp:lastPrinted>2026-02-21T14:24:47Z</cp:lastPrinted>
  <dcterms:created xsi:type="dcterms:W3CDTF">2026-02-19T16:10:34Z</dcterms:created>
  <dcterms:modified xsi:type="dcterms:W3CDTF">2026-03-01T14:31:01Z</dcterms:modified>
</cp:coreProperties>
</file>